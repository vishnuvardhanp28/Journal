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13_ncr:1_{42552CBA-7924-4FCB-A3E5-CAFEDA7FE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EEE Journals List " sheetId="1" r:id="rId1"/>
  </sheets>
  <definedNames>
    <definedName name="_xlnm._FilterDatabase" localSheetId="0" hidden="1">'IEEE Journals List '!$J$1:$J$1000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</calcChain>
</file>

<file path=xl/sharedStrings.xml><?xml version="1.0" encoding="utf-8"?>
<sst xmlns="http://schemas.openxmlformats.org/spreadsheetml/2006/main" count="2181" uniqueCount="1181">
  <si>
    <t>IEEE Title List</t>
  </si>
  <si>
    <t>Sl.No</t>
  </si>
  <si>
    <t>Publication Acronym</t>
  </si>
  <si>
    <t>Publication Title</t>
  </si>
  <si>
    <t>Open Access Type</t>
  </si>
  <si>
    <t>ISSN</t>
  </si>
  <si>
    <t>eISSN</t>
  </si>
  <si>
    <t>Index</t>
  </si>
  <si>
    <t>Journal Impact Factor (JIF)*</t>
  </si>
  <si>
    <t>5-Year Impact Factor*</t>
  </si>
  <si>
    <t>Quartile (JIF)</t>
  </si>
  <si>
    <t>JCI</t>
  </si>
  <si>
    <t>Eigenfactor</t>
  </si>
  <si>
    <t>Article Influence Score (AIS)</t>
  </si>
  <si>
    <t>CiteScore</t>
  </si>
  <si>
    <t>Journal URL</t>
  </si>
  <si>
    <t>ACCESS</t>
  </si>
  <si>
    <t>IEEE Access</t>
  </si>
  <si>
    <t>Full Open Access</t>
  </si>
  <si>
    <t>2169-3536</t>
  </si>
  <si>
    <t>SCIE</t>
  </si>
  <si>
    <t>Q2</t>
  </si>
  <si>
    <t>https://ieeexplore.ieee.org/servlet/opac?punumber=6287639</t>
  </si>
  <si>
    <t>IEEEDATA</t>
  </si>
  <si>
    <t>IEEE Data Descriptions</t>
  </si>
  <si>
    <t>N/A</t>
  </si>
  <si>
    <t>2995-4274</t>
  </si>
  <si>
    <t>https://ieeexplore.ieee.org/servlet/opac?punumber=10347231</t>
  </si>
  <si>
    <t>J-ISPIN</t>
  </si>
  <si>
    <t>IEEE Journal of Indoor and Seamless Positioning and Navigation</t>
  </si>
  <si>
    <t>2832-7322</t>
  </si>
  <si>
    <t>ESCI</t>
  </si>
  <si>
    <t>Q3</t>
  </si>
  <si>
    <t>https://ieeexplore.ieee.org/servlet/opac?punumber=9955032</t>
  </si>
  <si>
    <t>JMW</t>
  </si>
  <si>
    <t>IEEE Journal of Microwaves</t>
  </si>
  <si>
    <t>2692-8388</t>
  </si>
  <si>
    <t>https://ieeexplore.ieee.org/servlet/opac?punumber=9171629</t>
  </si>
  <si>
    <t>JSAS</t>
  </si>
  <si>
    <t>IEEE Journal of Selected Areas in Sensors</t>
  </si>
  <si>
    <t>2836-2071</t>
  </si>
  <si>
    <t>https://ieeexplore.ieee.org/servlet/opac?punumber=10057477</t>
  </si>
  <si>
    <t>J-STARS</t>
  </si>
  <si>
    <t>IEEE Journal of Selected Topics in Applied Earth Observations and Remote Sensing</t>
  </si>
  <si>
    <t>1939-1404</t>
  </si>
  <si>
    <t>2151-1535</t>
  </si>
  <si>
    <t>Q1</t>
  </si>
  <si>
    <t>https://ieeexplore.ieee.org/servlet/opac?punumber=4609443</t>
  </si>
  <si>
    <t>JSTEAP</t>
  </si>
  <si>
    <t>IEEE Journal of Selected Topics in Electromagnetics, Antennas and Propagation NEW for 2025</t>
  </si>
  <si>
    <t>3066-2494</t>
  </si>
  <si>
    <t>https://ieeexplore.ieee.org/servlet/opac?punumber=10918858</t>
  </si>
  <si>
    <t>JEDS</t>
  </si>
  <si>
    <t>IEEE Journal of the Electron Devices Society</t>
  </si>
  <si>
    <t>2168-6734</t>
  </si>
  <si>
    <t>https://ieeexplore.ieee.org/servlet/opac?punumber=6245494</t>
  </si>
  <si>
    <t>JTEHM</t>
  </si>
  <si>
    <t>IEEE Journal of Translational Engineering in Health and Medicine</t>
  </si>
  <si>
    <t>2168-2372</t>
  </si>
  <si>
    <t>https://ieeexplore.ieee.org/servlet/opac?punumber=6221039</t>
  </si>
  <si>
    <t>JXCDC</t>
  </si>
  <si>
    <t>IEEE Journal on Exploratory Solid-State Computational Devices and Circuits</t>
  </si>
  <si>
    <t>2329-9231</t>
  </si>
  <si>
    <r>
      <rPr>
        <u/>
        <sz val="12"/>
        <color rgb="FF1155CC"/>
        <rFont val="Calibri, sans-serif"/>
      </rPr>
      <t>https://ieeexplore.ieee.org/servlet/opac?punumber=6570653</t>
    </r>
  </si>
  <si>
    <t>OAJPE</t>
  </si>
  <si>
    <t>IEEE Open Access Journal of Power and Energy</t>
  </si>
  <si>
    <t>2687-7910</t>
  </si>
  <si>
    <t>https://ieeexplore.ieee.org/servlet/opac?punumber=8784343</t>
  </si>
  <si>
    <t>OJAP</t>
  </si>
  <si>
    <t>IEEE Open Journal of Antennas and Propagation</t>
  </si>
  <si>
    <t>2637-6431</t>
  </si>
  <si>
    <t>https://ieeexplore.ieee.org/servlet/opac?punumber=8566058</t>
  </si>
  <si>
    <t>OJCAS</t>
  </si>
  <si>
    <t>IEEE Open Journal of Circuits and Systems</t>
  </si>
  <si>
    <t>2644-1225</t>
  </si>
  <si>
    <t>https://ieeexplore.ieee.org/servlet/opac?punumber=8784029</t>
  </si>
  <si>
    <t>OJ-CSS</t>
  </si>
  <si>
    <t>IEEE Open Journal of Control Systems</t>
  </si>
  <si>
    <t>2694-085X</t>
  </si>
  <si>
    <t>https://ieeexplore.ieee.org/servlet/opac?punumber=9552933</t>
  </si>
  <si>
    <t>OJEMB</t>
  </si>
  <si>
    <t>IEEE Open Journal of Engineering in Medicine and Biology</t>
  </si>
  <si>
    <t>2644-1276</t>
  </si>
  <si>
    <t>https://ieeexplore.ieee.org/servlet/opac?punumber=8782705</t>
  </si>
  <si>
    <t>OJIA</t>
  </si>
  <si>
    <t>IEEE Open Journal of Industry Applications</t>
  </si>
  <si>
    <t>2644-1241</t>
  </si>
  <si>
    <t>https://ieeexplore.ieee.org/servlet/opac?punumber=8782707</t>
  </si>
  <si>
    <t>OJIM</t>
  </si>
  <si>
    <t>IEEE Open Journal of Instrumentation and Measurement</t>
  </si>
  <si>
    <t>2768-7236</t>
  </si>
  <si>
    <t>https://ieeexplore.ieee.org/servlet/opac?punumber=9552935</t>
  </si>
  <si>
    <t>OJITS</t>
  </si>
  <si>
    <t>IEEE Open Journal of Intelligent Transportation Systems</t>
  </si>
  <si>
    <t>2687-7813</t>
  </si>
  <si>
    <t>https://ieeexplore.ieee.org/servlet/opac?punumber=8784355</t>
  </si>
  <si>
    <t>OJNANO</t>
  </si>
  <si>
    <t>IEEE Open Journal of Nanotechnology</t>
  </si>
  <si>
    <t>2644-1292</t>
  </si>
  <si>
    <t>https://ieeexplore.ieee.org/servlet/opac?punumber=8782713</t>
  </si>
  <si>
    <t>OJPEL</t>
  </si>
  <si>
    <t>IEEE Open Journal of Power Electronics</t>
  </si>
  <si>
    <t>2644-1314</t>
  </si>
  <si>
    <t>https://ieeexplore.ieee.org/servlet/opac?punumber=8782709</t>
  </si>
  <si>
    <t>OJSP</t>
  </si>
  <si>
    <t>IEEE Open Journal of Signal Processing</t>
  </si>
  <si>
    <t>2644-1322</t>
  </si>
  <si>
    <t>https://ieeexplore.ieee.org/servlet/opac?punumber=8782710</t>
  </si>
  <si>
    <t>OJSE</t>
  </si>
  <si>
    <t>IEEE Open Journal of Systems Engineering</t>
  </si>
  <si>
    <t>2771-9987</t>
  </si>
  <si>
    <t>https://ieeexplore.ieee.org/servlet/opac?punumber=9745883</t>
  </si>
  <si>
    <t>OJCOMS</t>
  </si>
  <si>
    <t>IEEE Open Journal of the Communications Society</t>
  </si>
  <si>
    <t>2644-125X</t>
  </si>
  <si>
    <t>https://ieeexplore.ieee.org/servlet/opac?punumber=8782661</t>
  </si>
  <si>
    <t>OJCS</t>
  </si>
  <si>
    <t>IEEE Open Journal of the Computer Society</t>
  </si>
  <si>
    <t>2644-1268</t>
  </si>
  <si>
    <t>https://ieeexplore.ieee.org/servlet/opac?punumber=8782664</t>
  </si>
  <si>
    <t>OJIES</t>
  </si>
  <si>
    <t>IEEE Open Journal of the Industrial Electronics Society</t>
  </si>
  <si>
    <t>2644-1284</t>
  </si>
  <si>
    <t>https://ieeexplore.ieee.org/servlet/opac?punumber=8782706</t>
  </si>
  <si>
    <t>OJSSCS</t>
  </si>
  <si>
    <t>IEEE Open Journal of the Solid-State Circuits Society</t>
  </si>
  <si>
    <t>2644-1349</t>
  </si>
  <si>
    <t>https://ieeexplore.ieee.org/servlet/opac?punumber=8782712</t>
  </si>
  <si>
    <t>OJUFFC</t>
  </si>
  <si>
    <t>IEEE Open Journal of Ultrasonics, Ferroelectrics, and Frequency Control</t>
  </si>
  <si>
    <t>2694-0884</t>
  </si>
  <si>
    <t>https://ieeexplore.ieee.org/servlet/opac?punumber=9292640</t>
  </si>
  <si>
    <t>OJVT</t>
  </si>
  <si>
    <t>IEEE Open Journal of Vehicular Technology</t>
  </si>
  <si>
    <t>2644-1330</t>
  </si>
  <si>
    <t>https://ieeexplore.ieee.org/servlet/opac?punumber=8782711</t>
  </si>
  <si>
    <t>OJID</t>
  </si>
  <si>
    <t>IEEE Open Journal on Immersive Displays</t>
  </si>
  <si>
    <t>2836-211X</t>
  </si>
  <si>
    <t>https://ieeexplore.ieee.org/servlet/opac?punumber=10053844</t>
  </si>
  <si>
    <t>JPHOT</t>
  </si>
  <si>
    <t>IEEE Photonics Journal</t>
  </si>
  <si>
    <t>1943-0655</t>
  </si>
  <si>
    <t>1943-0647</t>
  </si>
  <si>
    <t>https://ieeexplore.ieee.org/servlet/opac?punumber=4563994</t>
  </si>
  <si>
    <t>JSR</t>
  </si>
  <si>
    <t>IEEE Sensors Reviews</t>
  </si>
  <si>
    <t>2995-7478</t>
  </si>
  <si>
    <t>https://ieeexplore.ieee.org/servlet/opac?punumber=10347229</t>
  </si>
  <si>
    <t>LSMC</t>
  </si>
  <si>
    <t>IEEE Systems, Man, and Cybernetics Letters</t>
  </si>
  <si>
    <t>2836-628X</t>
  </si>
  <si>
    <t>https://ieeexplore.ieee.org/servlet/opac?punumber=10167709</t>
  </si>
  <si>
    <t>T-MLCN</t>
  </si>
  <si>
    <t>IEEE Transactions on Machine Learning in Communications and Networking</t>
  </si>
  <si>
    <t>2831-316X</t>
  </si>
  <si>
    <t>https://ieeexplore.ieee.org/servlet/opac?punumber=9882533</t>
  </si>
  <si>
    <t>T-NSRE</t>
  </si>
  <si>
    <t>IEEE Transactions on Neural Systems and Rehabilitation Engineering</t>
  </si>
  <si>
    <t>1534-4320</t>
  </si>
  <si>
    <t>1558-0210</t>
  </si>
  <si>
    <t>https://ieeexplore.ieee.org/servlet/opac?punumber=7333</t>
  </si>
  <si>
    <t>TP</t>
  </si>
  <si>
    <t>IEEE Transactions on Privacy</t>
  </si>
  <si>
    <t>2836-208X</t>
  </si>
  <si>
    <t>https://ieeexplore.ieee.org/servlet/opac?punumber=10167710</t>
  </si>
  <si>
    <t>TQE</t>
  </si>
  <si>
    <t>IEEE Transactions on Quantum Engineering</t>
  </si>
  <si>
    <t>2689-1808</t>
  </si>
  <si>
    <t>https://ieeexplore.ieee.org/servlet/opac?punumber=8924785</t>
  </si>
  <si>
    <t>M-C</t>
  </si>
  <si>
    <t>Computer</t>
  </si>
  <si>
    <t>Hybrid Open Access</t>
  </si>
  <si>
    <t>0018-9162</t>
  </si>
  <si>
    <t>1558-0814</t>
  </si>
  <si>
    <t>https://ieeexplore.ieee.org/servlet/opac?punumber=2</t>
  </si>
  <si>
    <t>CiSE</t>
  </si>
  <si>
    <t>Computing in Science &amp; Engineering</t>
  </si>
  <si>
    <t>1521-9615</t>
  </si>
  <si>
    <t>1558-366X</t>
  </si>
  <si>
    <t>https://ieeexplore.ieee.org/servlet/opac?punumber=5992</t>
  </si>
  <si>
    <t>M-AHC</t>
  </si>
  <si>
    <t>IEEE Annals of the History of Computing</t>
  </si>
  <si>
    <t>1058-6180</t>
  </si>
  <si>
    <t>1934-1547</t>
  </si>
  <si>
    <t>Q4</t>
  </si>
  <si>
    <t>https://ieeexplore.ieee.org/servlet/opac?punumber=85</t>
  </si>
  <si>
    <t>M-AP</t>
  </si>
  <si>
    <t>IEEE Antennas and Propagation Magazine</t>
  </si>
  <si>
    <t>1045-9243</t>
  </si>
  <si>
    <t>1558-4143</t>
  </si>
  <si>
    <t>https://ieeexplore.ieee.org/servlet/opac?punumber=74</t>
  </si>
  <si>
    <t>L-AWP</t>
  </si>
  <si>
    <t>IEEE Antennas and Wireless Propagation Letters</t>
  </si>
  <si>
    <t>1536-1225</t>
  </si>
  <si>
    <t>1548-5757</t>
  </si>
  <si>
    <t>https://ieeexplore.ieee.org/servlet/opac?punumber=7727</t>
  </si>
  <si>
    <t>M-BITS</t>
  </si>
  <si>
    <t>IEEE BITS the Information Theory Magazine</t>
  </si>
  <si>
    <t>2692-4080</t>
  </si>
  <si>
    <t>2692-4110</t>
  </si>
  <si>
    <t>https://ieeexplore.ieee.org/servlet/opac?punumber=9393008</t>
  </si>
  <si>
    <t>J-CJECE</t>
  </si>
  <si>
    <t>IEEE Canadian Journal of Electrical and Computer Engineering</t>
  </si>
  <si>
    <t>2694-1783</t>
  </si>
  <si>
    <t>https://ieeexplore.ieee.org/servlet/opac?punumber=9349829</t>
  </si>
  <si>
    <t>L-COMM</t>
  </si>
  <si>
    <t>IEEE Communications Letters</t>
  </si>
  <si>
    <t>1089-7798</t>
  </si>
  <si>
    <t>1558-2558</t>
  </si>
  <si>
    <t>https://ieeexplore.ieee.org/servlet/opac?punumber=4234</t>
  </si>
  <si>
    <t>M-COMM</t>
  </si>
  <si>
    <t>IEEE Communications Magazine</t>
  </si>
  <si>
    <t>0163-6804</t>
  </si>
  <si>
    <t>1558-1896</t>
  </si>
  <si>
    <t>https://ieeexplore.ieee.org/servlet/opac?punumber=35</t>
  </si>
  <si>
    <t>M-COMSTD</t>
  </si>
  <si>
    <t>IEEE Communications Standards Magazine</t>
  </si>
  <si>
    <t>2471-2825</t>
  </si>
  <si>
    <t>2471-2833</t>
  </si>
  <si>
    <t>https://ieeexplore.ieee.org/servlet/opac?punumber=7886829</t>
  </si>
  <si>
    <t>COMST</t>
  </si>
  <si>
    <t>IEEE Communications Surveys and Tutorials</t>
  </si>
  <si>
    <t>1553-877X</t>
  </si>
  <si>
    <t>https://ieeexplore.ieee.org/servlet/opac?punumber=9739</t>
  </si>
  <si>
    <t>L-CI</t>
  </si>
  <si>
    <t>IEEE Computational Intelligence Letters Coming in 2026/2027</t>
  </si>
  <si>
    <t>3070-1139</t>
  </si>
  <si>
    <t>https://ieeexplore.ieee.org/servlet/opac?punumber=11359446</t>
  </si>
  <si>
    <t>L-CA</t>
  </si>
  <si>
    <t>IEEE Computer Architecture Letters</t>
  </si>
  <si>
    <t>1556-6056</t>
  </si>
  <si>
    <t>1556-6064</t>
  </si>
  <si>
    <t>https://ieeexplore.ieee.org/servlet/opac?punumber=10208</t>
  </si>
  <si>
    <t>M-CG&amp;A</t>
  </si>
  <si>
    <t>IEEE Computer Graphics and Applications</t>
  </si>
  <si>
    <t>0272-1716</t>
  </si>
  <si>
    <t>1558-1756</t>
  </si>
  <si>
    <t>https://ieeexplore.ieee.org/servlet/opac?punumber=38</t>
  </si>
  <si>
    <t>L-CSS</t>
  </si>
  <si>
    <t>IEEE Control Systems Letters</t>
  </si>
  <si>
    <t>2475-1456</t>
  </si>
  <si>
    <t>https://ieeexplore.ieee.org/servlet/opac?punumber=7782633</t>
  </si>
  <si>
    <t>M-EI</t>
  </si>
  <si>
    <t>IEEE Electrical Insulation Magazine</t>
  </si>
  <si>
    <t>0883-7554</t>
  </si>
  <si>
    <t>1558-4402</t>
  </si>
  <si>
    <t>https://ieeexplore.ieee.org/servlet/opac?punumber=57</t>
  </si>
  <si>
    <t>L-ED</t>
  </si>
  <si>
    <t>IEEE Electron Device Letters</t>
  </si>
  <si>
    <t>0741-3106</t>
  </si>
  <si>
    <t>1558-0563</t>
  </si>
  <si>
    <t>https://ieeexplore.ieee.org/servlet/opac?punumber=55</t>
  </si>
  <si>
    <t>ED-M</t>
  </si>
  <si>
    <t>IEEE Electron Devices Magazine</t>
  </si>
  <si>
    <t>2832-7683</t>
  </si>
  <si>
    <t>2832-7691</t>
  </si>
  <si>
    <t>https://ieeexplore.ieee.org/servlet/opac?punumber=10035030</t>
  </si>
  <si>
    <t>EDR</t>
  </si>
  <si>
    <t>IEEE Electron Devices Reviews</t>
  </si>
  <si>
    <t>2995-424X</t>
  </si>
  <si>
    <t>https://ieeexplore.ieee.org/servlet/opac?punumber=10347230</t>
  </si>
  <si>
    <t>L-ES</t>
  </si>
  <si>
    <t>IEEE Embedded Systems Letters</t>
  </si>
  <si>
    <t>1943-0663</t>
  </si>
  <si>
    <t>1943-0671</t>
  </si>
  <si>
    <t>https://ieeexplore.ieee.org/servlet/opac?punumber=4563995</t>
  </si>
  <si>
    <t>R-EM</t>
  </si>
  <si>
    <t>IEEE Engineering Management Review</t>
  </si>
  <si>
    <t>0360-8581</t>
  </si>
  <si>
    <t>1937-4178</t>
  </si>
  <si>
    <t>https://ieeexplore.ieee.org/servlet/opac?punumber=46</t>
  </si>
  <si>
    <t>L-GRS</t>
  </si>
  <si>
    <t>IEEE Geoscience and Remote Sensing Letters</t>
  </si>
  <si>
    <t>1545-598X</t>
  </si>
  <si>
    <t>1558-0571</t>
  </si>
  <si>
    <t>https://ieeexplore.ieee.org/servlet/opac?punumber=8859</t>
  </si>
  <si>
    <t>M-GRS</t>
  </si>
  <si>
    <t>IEEE Geoscience and Remote Sensing Magazine</t>
  </si>
  <si>
    <t>2473-2397</t>
  </si>
  <si>
    <t>2168-6831</t>
  </si>
  <si>
    <t>https://ieeexplore.ieee.org/servlet/opac?punumber=6245518</t>
  </si>
  <si>
    <t>M-IA</t>
  </si>
  <si>
    <t>IEEE Industry Applications Magazine</t>
  </si>
  <si>
    <t>1077-2618</t>
  </si>
  <si>
    <t>1558-0598</t>
  </si>
  <si>
    <t>https://ieeexplore.ieee.org/servlet/opac?punumber=2943</t>
  </si>
  <si>
    <t>M-IM</t>
  </si>
  <si>
    <t>IEEE Instrumentation &amp; Measurement Magazine</t>
  </si>
  <si>
    <t>1094-6969</t>
  </si>
  <si>
    <t>1941-0123</t>
  </si>
  <si>
    <t>https://ieeexplore.ieee.org/servlet/opac?punumber=5289</t>
  </si>
  <si>
    <t>M-IS</t>
  </si>
  <si>
    <t>IEEE Intelligent Systems</t>
  </si>
  <si>
    <t>1541-1672</t>
  </si>
  <si>
    <t>1941-1294</t>
  </si>
  <si>
    <t>https://ieeexplore.ieee.org/servlet/opac?punumber=9670</t>
  </si>
  <si>
    <t>M-IC</t>
  </si>
  <si>
    <t>IEEE Internet Computing</t>
  </si>
  <si>
    <t>1089-7801</t>
  </si>
  <si>
    <t>1941-0131</t>
  </si>
  <si>
    <t>https://ieeexplore.ieee.org/servlet/opac?punumber=4236</t>
  </si>
  <si>
    <t>J-IOT</t>
  </si>
  <si>
    <t>IEEE Internet of Things Journal</t>
  </si>
  <si>
    <t>2327-4662</t>
  </si>
  <si>
    <t>https://ieeexplore.ieee.org/servlet/opac?punumber=6488907</t>
  </si>
  <si>
    <t>M-IOT</t>
  </si>
  <si>
    <t>IEEE Internet of Things Magazine</t>
  </si>
  <si>
    <t>2576-3180</t>
  </si>
  <si>
    <t>2576-3199</t>
  </si>
  <si>
    <t>https://ieeexplore.ieee.org/servlet/opac?punumber=8548628</t>
  </si>
  <si>
    <t>J-BHI</t>
  </si>
  <si>
    <t>IEEE Journal of Biomedical and Health Informatics</t>
  </si>
  <si>
    <t>2168-2194</t>
  </si>
  <si>
    <t>2168-2208</t>
  </si>
  <si>
    <t>https://ieeexplore.ieee.org/servlet/opac?punumber=6221020</t>
  </si>
  <si>
    <t>J-ERM</t>
  </si>
  <si>
    <t>IEEE Journal of Electromagnetics, RF and Microwaves in Medicine and Biology</t>
  </si>
  <si>
    <t>2469-7249</t>
  </si>
  <si>
    <t>2469-7257</t>
  </si>
  <si>
    <t>https://ieeexplore.ieee.org/servlet/opac?punumber=7397573</t>
  </si>
  <si>
    <t>J-ESTIE</t>
  </si>
  <si>
    <t>IEEE Journal of Emerging and Selected Topics in Industrial Electronics</t>
  </si>
  <si>
    <t>2687-9735</t>
  </si>
  <si>
    <t>2687-9743</t>
  </si>
  <si>
    <t>https://ieeexplore.ieee.org/servlet/opac?punumber=8847244</t>
  </si>
  <si>
    <t>J-ESTPE</t>
  </si>
  <si>
    <t>IEEE Journal of Emerging and Selected Topics in Power Electronics</t>
  </si>
  <si>
    <t>2168-6777</t>
  </si>
  <si>
    <t>2168-6785</t>
  </si>
  <si>
    <t>https://ieeexplore.ieee.org/servlet/opac?punumber=6245517</t>
  </si>
  <si>
    <t>J-OE</t>
  </si>
  <si>
    <t>IEEE Journal of Oceanic Engineering</t>
  </si>
  <si>
    <t>0364-9059</t>
  </si>
  <si>
    <t>1558-1691</t>
  </si>
  <si>
    <t>https://ieeexplore.ieee.org/servlet/opac?punumber=48</t>
  </si>
  <si>
    <t>J-PHOTOV</t>
  </si>
  <si>
    <t>IEEE Journal of Photovoltaics</t>
  </si>
  <si>
    <t>2156-3381</t>
  </si>
  <si>
    <t>2156-3403</t>
  </si>
  <si>
    <t>https://ieeexplore.ieee.org/servlet/opac?punumber=5503869</t>
  </si>
  <si>
    <t>J-QE</t>
  </si>
  <si>
    <t>IEEE Journal of Quantum Electronics</t>
  </si>
  <si>
    <t>0018-9197</t>
  </si>
  <si>
    <t>1558-1713</t>
  </si>
  <si>
    <t>https://ieeexplore.ieee.org/servlet/opac?punumber=3</t>
  </si>
  <si>
    <t>J-RFID</t>
  </si>
  <si>
    <t>IEEE Journal of Radio Frequency Identification</t>
  </si>
  <si>
    <t>2469-7281</t>
  </si>
  <si>
    <t>https://ieeexplore.ieee.org/servlet/opac?punumber=7433271</t>
  </si>
  <si>
    <t>J-STQE</t>
  </si>
  <si>
    <t>IEEE Journal of Selected Topics in Quantum Electronics</t>
  </si>
  <si>
    <t>1077-260X</t>
  </si>
  <si>
    <t>1558-4542</t>
  </si>
  <si>
    <t>https://ieeexplore.ieee.org/servlet/opac?punumber=2944</t>
  </si>
  <si>
    <t>J-STSP</t>
  </si>
  <si>
    <t>IEEE Journal of Selected Topics in Signal Processing</t>
  </si>
  <si>
    <t>1932-4553</t>
  </si>
  <si>
    <t>1941-0484</t>
  </si>
  <si>
    <t>https://ieeexplore.ieee.org/servlet/opac?punumber=4200690</t>
  </si>
  <si>
    <t>J-SSC</t>
  </si>
  <si>
    <t>IEEE Journal of Solid-State Circuits</t>
  </si>
  <si>
    <t>0018-9200</t>
  </si>
  <si>
    <t>1558-173X</t>
  </si>
  <si>
    <t>https://ieeexplore.ieee.org/servlet/opac?punumber=4</t>
  </si>
  <si>
    <t>JETCAS</t>
  </si>
  <si>
    <t>IEEE Journal on Emerging and Selected Topics in Circuits and Systems</t>
  </si>
  <si>
    <t>2156-3357</t>
  </si>
  <si>
    <t>2156-3365</t>
  </si>
  <si>
    <t>https://ieeexplore.ieee.org/servlet/opac?punumber=5503868</t>
  </si>
  <si>
    <t>J-FLEX</t>
  </si>
  <si>
    <t>IEEE Journal on Flexible Electronics</t>
  </si>
  <si>
    <t>2768-167X</t>
  </si>
  <si>
    <t>https://ieeexplore.ieee.org/servlet/opac?punumber=9552934</t>
  </si>
  <si>
    <t>J-MASS</t>
  </si>
  <si>
    <t>IEEE Journal on Miniaturization for Air and Space Systems</t>
  </si>
  <si>
    <t>2576-3164</t>
  </si>
  <si>
    <t>https://ieeexplore.ieee.org/servlet/opac?punumber=8253411</t>
  </si>
  <si>
    <t>J-MMCT</t>
  </si>
  <si>
    <t>IEEE Journal on Multiscale and Multiphysics Computational Techniques</t>
  </si>
  <si>
    <t>2379-8793</t>
  </si>
  <si>
    <t>https://ieeexplore.ieee.org/servlet/opac?punumber=7274859</t>
  </si>
  <si>
    <t>J-SAC</t>
  </si>
  <si>
    <t>IEEE Journal on Selected Areas in Communications</t>
  </si>
  <si>
    <t>0733-8716</t>
  </si>
  <si>
    <t>1558-0008</t>
  </si>
  <si>
    <t>https://ieeexplore.ieee.org/servlet/opac?punumber=49</t>
  </si>
  <si>
    <t>J-SAIT</t>
  </si>
  <si>
    <t>IEEE Journal on Selected Areas in Information Theory</t>
  </si>
  <si>
    <t>2641-8770</t>
  </si>
  <si>
    <t>https://ieeexplore.ieee.org/servlet/opac?punumber=8700143</t>
  </si>
  <si>
    <t>J-WPT</t>
  </si>
  <si>
    <t>IEEE Journal on Wireless Power Technologies NEW for 2026</t>
  </si>
  <si>
    <t>3066-5736</t>
  </si>
  <si>
    <t>https://ieeexplore.ieee.org/servlet/opac?punumber=10918859</t>
  </si>
  <si>
    <t>L-EMCPA</t>
  </si>
  <si>
    <t>IEEE Letters on Electromagnetic Compatibility Practice and Applications</t>
  </si>
  <si>
    <t>2637-6423</t>
  </si>
  <si>
    <t>https://ieeexplore.ieee.org/servlet/opac?punumber=8566057</t>
  </si>
  <si>
    <t>L-MAG</t>
  </si>
  <si>
    <t>IEEE Magnetics Letters</t>
  </si>
  <si>
    <t>1949-307X</t>
  </si>
  <si>
    <t>1949-3088</t>
  </si>
  <si>
    <t>https://ieeexplore.ieee.org/servlet/opac?punumber=5165412</t>
  </si>
  <si>
    <t>M-MICRO</t>
  </si>
  <si>
    <t>IEEE Micro</t>
  </si>
  <si>
    <t>0272-1732</t>
  </si>
  <si>
    <t>1937-4143</t>
  </si>
  <si>
    <t>https://ieeexplore.ieee.org/servlet/opac?punumber=40</t>
  </si>
  <si>
    <t>L-MWT</t>
  </si>
  <si>
    <t>IEEE Microwave and Wireless Technology Letters</t>
  </si>
  <si>
    <t>2771-957X</t>
  </si>
  <si>
    <t>2771-9588</t>
  </si>
  <si>
    <t>https://ieeexplore.ieee.org/servlet/opac?punumber=9944983</t>
  </si>
  <si>
    <t>M-MULTI</t>
  </si>
  <si>
    <t>IEEE MultiMedia</t>
  </si>
  <si>
    <t>1070-986X</t>
  </si>
  <si>
    <t>1941-0166</t>
  </si>
  <si>
    <t>https://ieeexplore.ieee.org/servlet/opac?punumber=93</t>
  </si>
  <si>
    <t>M-NET</t>
  </si>
  <si>
    <t>IEEE Network</t>
  </si>
  <si>
    <t>0890-8044</t>
  </si>
  <si>
    <t>1558-156X</t>
  </si>
  <si>
    <t>https://ieeexplore.ieee.org/servlet/opac?punumber=65</t>
  </si>
  <si>
    <t>L-NET</t>
  </si>
  <si>
    <t>IEEE Networking Letters</t>
  </si>
  <si>
    <t>2576-3156</t>
  </si>
  <si>
    <t>https://ieeexplore.ieee.org/servlet/opac?punumber=8253410</t>
  </si>
  <si>
    <t>M-PVC</t>
  </si>
  <si>
    <t>IEEE Pervasive Computing</t>
  </si>
  <si>
    <t>1536-1268</t>
  </si>
  <si>
    <t>1558-2590</t>
  </si>
  <si>
    <t>https://ieeexplore.ieee.org/servlet/opac?punumber=7756</t>
  </si>
  <si>
    <t>L-PT</t>
  </si>
  <si>
    <t>IEEE Photonics Technology Letters</t>
  </si>
  <si>
    <t>1041-1135</t>
  </si>
  <si>
    <t>1941-0174</t>
  </si>
  <si>
    <t>https://ieeexplore.ieee.org/servlet/opac?punumber=68</t>
  </si>
  <si>
    <t>M-RL</t>
  </si>
  <si>
    <t>IEEE Reliability Magazine</t>
  </si>
  <si>
    <t>2641-8819</t>
  </si>
  <si>
    <t>https://ieeexplore.ieee.org/servlet/opac?punumber=10167708</t>
  </si>
  <si>
    <t>R-BME</t>
  </si>
  <si>
    <t>IEEE Reviews in Biomedical Engineering</t>
  </si>
  <si>
    <t>1937-3333</t>
  </si>
  <si>
    <t>1941-1189</t>
  </si>
  <si>
    <t>https://ieeexplore.ieee.org/servlet/opac?punumber=4664312</t>
  </si>
  <si>
    <t>IEEE-RITA</t>
  </si>
  <si>
    <t>IEEE Revista Iberoamericana de Technologias del Aprendizaje</t>
  </si>
  <si>
    <t>1932-8540</t>
  </si>
  <si>
    <t>https://ieeexplore.ieee.org/servlet/opac?punumber=6245520</t>
  </si>
  <si>
    <t>M-RA</t>
  </si>
  <si>
    <t>IEEE Robotics &amp; Automation Magazine</t>
  </si>
  <si>
    <t>1070-9932</t>
  </si>
  <si>
    <t>1558-223X</t>
  </si>
  <si>
    <t>https://ieeexplore.ieee.org/servlet/opac?punumber=100</t>
  </si>
  <si>
    <t>L-RA</t>
  </si>
  <si>
    <t>IEEE Robotics and Automation Letters</t>
  </si>
  <si>
    <t>2377-3766</t>
  </si>
  <si>
    <t>https://ieeexplore.ieee.org/servlet/opac?punumber=7083369</t>
  </si>
  <si>
    <t>RAP</t>
  </si>
  <si>
    <t>IEEE Robotics and Automation Practice NEW for 2026</t>
  </si>
  <si>
    <t>2995-4304</t>
  </si>
  <si>
    <t>https://ieeexplore.ieee.org/servlet/opac?punumber=10347232</t>
  </si>
  <si>
    <t>M-S&amp;P</t>
  </si>
  <si>
    <t>IEEE Security &amp; Privacy</t>
  </si>
  <si>
    <t>1540-7993</t>
  </si>
  <si>
    <t>1558-4046</t>
  </si>
  <si>
    <t>https://ieeexplore.ieee.org/servlet/opac?punumber=8013</t>
  </si>
  <si>
    <t>J-SEN</t>
  </si>
  <si>
    <t>IEEE Sensors Journal</t>
  </si>
  <si>
    <t>1530-437X</t>
  </si>
  <si>
    <t>1558-1748</t>
  </si>
  <si>
    <t>https://ieeexplore.ieee.org/servlet/opac?punumber=7361</t>
  </si>
  <si>
    <t>L-SEN</t>
  </si>
  <si>
    <t>IEEE Sensors Letters</t>
  </si>
  <si>
    <t>2475-1472</t>
  </si>
  <si>
    <t>https://ieeexplore.ieee.org/servlet/opac?punumber=7782634</t>
  </si>
  <si>
    <t>SEM</t>
  </si>
  <si>
    <t>IEEE Sensors Magazine NEW for 2026</t>
  </si>
  <si>
    <t>3068-8604</t>
  </si>
  <si>
    <t>3068-8612</t>
  </si>
  <si>
    <t>https://ieeexplore.ieee.org/servlet/opac?punumber=11059289</t>
  </si>
  <si>
    <t>L-SP</t>
  </si>
  <si>
    <t>IEEE Signal Processing Letters</t>
  </si>
  <si>
    <t>1070-9908</t>
  </si>
  <si>
    <t>1558-2361</t>
  </si>
  <si>
    <t>https://ieeexplore.ieee.org/servlet/opac?punumber=97</t>
  </si>
  <si>
    <t>M-SOFT</t>
  </si>
  <si>
    <t>IEEE Software</t>
  </si>
  <si>
    <t>0740-7459</t>
  </si>
  <si>
    <t>1937-4194</t>
  </si>
  <si>
    <t>https://ieeexplore.ieee.org/servlet/opac?punumber=52</t>
  </si>
  <si>
    <t>L-SSC</t>
  </si>
  <si>
    <t>IEEE Solid-State Circuits Letters</t>
  </si>
  <si>
    <t>2573-9603</t>
  </si>
  <si>
    <t>https://ieeexplore.ieee.org/servlet/opac?punumber=8011414</t>
  </si>
  <si>
    <t>SPEC</t>
  </si>
  <si>
    <t>IEEE Spectrum</t>
  </si>
  <si>
    <t>0018-9235</t>
  </si>
  <si>
    <t>1939-9340</t>
  </si>
  <si>
    <t>https://ieeexplore.ieee.org/servlet/opac?punumber=6</t>
  </si>
  <si>
    <t>J-SYS</t>
  </si>
  <si>
    <t>IEEE Systems Journal</t>
  </si>
  <si>
    <t>1932-8184</t>
  </si>
  <si>
    <t>1937-9234</t>
  </si>
  <si>
    <t>https://ieeexplore.ieee.org/servlet/opac?punumber=4267003</t>
  </si>
  <si>
    <t>T-AES</t>
  </si>
  <si>
    <t>IEEE Transactions on Aerospace and Electronic Systems</t>
  </si>
  <si>
    <t>0018-9251</t>
  </si>
  <si>
    <t>1557-9603</t>
  </si>
  <si>
    <t>https://ieeexplore.ieee.org/servlet/opac?punumber=7</t>
  </si>
  <si>
    <t>T-AFFC</t>
  </si>
  <si>
    <t>IEEE Transactions on Affective Computing</t>
  </si>
  <si>
    <t>1949-3045</t>
  </si>
  <si>
    <t>https://ieeexplore.ieee.org/servlet/opac?punumber=5165369</t>
  </si>
  <si>
    <t>T-AFE</t>
  </si>
  <si>
    <t>IEEE Transactions on AgriFood Electronics</t>
  </si>
  <si>
    <t>2771-9529</t>
  </si>
  <si>
    <t>https://ieeexplore.ieee.org/servlet/opac?punumber=9787768</t>
  </si>
  <si>
    <t>T-AP</t>
  </si>
  <si>
    <t>IEEE Transactions on Antennas and Propagation</t>
  </si>
  <si>
    <t>0018-926X</t>
  </si>
  <si>
    <t>1558-2221</t>
  </si>
  <si>
    <t>https://ieeexplore.ieee.org/servlet/opac?punumber=8</t>
  </si>
  <si>
    <t>T-ASC</t>
  </si>
  <si>
    <t>IEEE Transactions on Applied Superconductivity</t>
  </si>
  <si>
    <t>1051-8223</t>
  </si>
  <si>
    <t>1558-2515</t>
  </si>
  <si>
    <t>https://ieeexplore.ieee.org/servlet/opac?punumber=77</t>
  </si>
  <si>
    <t>T-AI</t>
  </si>
  <si>
    <t>IEEE Transactions on Artificial Intelligence</t>
  </si>
  <si>
    <t>2691-4581</t>
  </si>
  <si>
    <t>https://ieeexplore.ieee.org/servlet/opac?punumber=9078688</t>
  </si>
  <si>
    <t>T-ASLPRO</t>
  </si>
  <si>
    <t>IEEE Transactions on Audio, Speech, and Language Processing†</t>
  </si>
  <si>
    <t>2998-4173</t>
  </si>
  <si>
    <t>https://ieeexplore.ieee.org/servlet/opac?punumber=10723155</t>
  </si>
  <si>
    <t>T-AC</t>
  </si>
  <si>
    <t>IEEE Transactions on Automatic Control</t>
  </si>
  <si>
    <t>0018-9286</t>
  </si>
  <si>
    <t>1558-2523</t>
  </si>
  <si>
    <t>https://ieeexplore.ieee.org/servlet/opac?punumber=9</t>
  </si>
  <si>
    <t>T-ASE</t>
  </si>
  <si>
    <t>IEEE Transactions on Automation Science and Engineering</t>
  </si>
  <si>
    <t>1545-5955</t>
  </si>
  <si>
    <t>1558-3783</t>
  </si>
  <si>
    <t>https://ieeexplore.ieee.org/servlet/opac?punumber=8856</t>
  </si>
  <si>
    <t>T-BD</t>
  </si>
  <si>
    <t>IEEE Transactions on Big Data</t>
  </si>
  <si>
    <t>2332-7790</t>
  </si>
  <si>
    <t>https://ieeexplore.ieee.org/servlet/opac?punumber=6687317</t>
  </si>
  <si>
    <t>T-BCAS</t>
  </si>
  <si>
    <t>IEEE Transactions on Biomedical Circuits and Systems</t>
  </si>
  <si>
    <t>1932-4545</t>
  </si>
  <si>
    <t>1940-9990</t>
  </si>
  <si>
    <t>https://ieeexplore.ieee.org/servlet/opac?punumber=4156126</t>
  </si>
  <si>
    <t>T-BME</t>
  </si>
  <si>
    <t>IEEE Transactions on Biomedical Engineering</t>
  </si>
  <si>
    <t>0018-9294</t>
  </si>
  <si>
    <t>1558-2531</t>
  </si>
  <si>
    <t>https://ieeexplore.ieee.org/servlet/opac?punumber=10</t>
  </si>
  <si>
    <t>T-BIOM</t>
  </si>
  <si>
    <t>IEEE Transactions on Biometrics, Behavior, and Identity Science</t>
  </si>
  <si>
    <t>2637-6407</t>
  </si>
  <si>
    <t>https://ieeexplore.ieee.org/servlet/opac?punumber=8423754</t>
  </si>
  <si>
    <t>T-BC</t>
  </si>
  <si>
    <t>IEEE Transactions on Broadcasting</t>
  </si>
  <si>
    <t>0018-9316</t>
  </si>
  <si>
    <t>1557-9611</t>
  </si>
  <si>
    <t>https://ieeexplore.ieee.org/servlet/opac?punumber=11</t>
  </si>
  <si>
    <t>T-CASAI</t>
  </si>
  <si>
    <t>IEEE Transactions on Circuits and Systems for Artificial Intelligence</t>
  </si>
  <si>
    <t>2996-6647</t>
  </si>
  <si>
    <t>https://ieeexplore.ieee.org/servlet/opac?punumber=10495160</t>
  </si>
  <si>
    <t>T-CSVT</t>
  </si>
  <si>
    <t>IEEE Transactions on Circuits and Systems for Video Technology</t>
  </si>
  <si>
    <t>1051-8215</t>
  </si>
  <si>
    <t>1558-2205</t>
  </si>
  <si>
    <t>https://ieeexplore.ieee.org/servlet/opac?punumber=76</t>
  </si>
  <si>
    <t>T-CAS1</t>
  </si>
  <si>
    <t>IEEE Transactions on Circuits and Systems--I: Regular Papers</t>
  </si>
  <si>
    <t>1549-8328</t>
  </si>
  <si>
    <t>1558-0806</t>
  </si>
  <si>
    <t>https://ieeexplore.ieee.org/servlet/opac?punumber=8919</t>
  </si>
  <si>
    <t>T-CAS2</t>
  </si>
  <si>
    <t>IEEE Transactions on Circuits and Systems--II: Express Briefs</t>
  </si>
  <si>
    <t>1549-7747</t>
  </si>
  <si>
    <t>1558-3791</t>
  </si>
  <si>
    <t>https://ieeexplore.ieee.org/servlet/opac?punumber=8920</t>
  </si>
  <si>
    <t>T-CC</t>
  </si>
  <si>
    <t>IEEE Transactions on Cloud Computing</t>
  </si>
  <si>
    <t>2168-7161</t>
  </si>
  <si>
    <t>https://ieeexplore.ieee.org/servlet/opac?punumber=6245519</t>
  </si>
  <si>
    <t>T-CDS</t>
  </si>
  <si>
    <t>IEEE Transactions on Cognitive and Developmental Systems</t>
  </si>
  <si>
    <t>2379-8920</t>
  </si>
  <si>
    <t>2379-8939</t>
  </si>
  <si>
    <t>https://ieeexplore.ieee.org/servlet/opac?punumber=7274989</t>
  </si>
  <si>
    <t>T-CCN</t>
  </si>
  <si>
    <t>IEEE Transactions on Cognitive Communications and Networking</t>
  </si>
  <si>
    <t>2332-7731</t>
  </si>
  <si>
    <t>https://ieeexplore.ieee.org/servlet/opac?punumber=6687307</t>
  </si>
  <si>
    <t>T-COMM</t>
  </si>
  <si>
    <t>IEEE Transactions on Communications</t>
  </si>
  <si>
    <t>0090-6778</t>
  </si>
  <si>
    <t>1558-0857</t>
  </si>
  <si>
    <t>https://ieeexplore.ieee.org/servlet/opac?punumber=26</t>
  </si>
  <si>
    <t>T-CPMT</t>
  </si>
  <si>
    <t>IEEE Transactions on Components, Packaging and Manufacturing Technology</t>
  </si>
  <si>
    <t>2156-3950</t>
  </si>
  <si>
    <t>2156-3985</t>
  </si>
  <si>
    <t>https://ieeexplore.ieee.org/servlet/opac?punumber=5503870</t>
  </si>
  <si>
    <t>T-CBBIO</t>
  </si>
  <si>
    <t>IEEE Transactions on Computational Biology and Bioinformatics‡</t>
  </si>
  <si>
    <t>2998-4165</t>
  </si>
  <si>
    <t>https://ieeexplore.ieee.org/servlet/opac?punumber=10723156</t>
  </si>
  <si>
    <t>T-CI</t>
  </si>
  <si>
    <t>IEEE Transactions on Computational Imaging</t>
  </si>
  <si>
    <t>2573-0436</t>
  </si>
  <si>
    <t>2333-9403</t>
  </si>
  <si>
    <t>https://ieeexplore.ieee.org/servlet/opac?punumber=6745852</t>
  </si>
  <si>
    <t>T-CSS</t>
  </si>
  <si>
    <t>IEEE Transactions on Computational Social Systems</t>
  </si>
  <si>
    <t>2329-924X</t>
  </si>
  <si>
    <t>https://ieeexplore.ieee.org/servlet/opac?punumber=6570650</t>
  </si>
  <si>
    <t>T-CAD</t>
  </si>
  <si>
    <t>IEEE Transactions on Computer-Aided Design of Integrated Circuits and Systems</t>
  </si>
  <si>
    <t>0278-0070</t>
  </si>
  <si>
    <t>1937-4151</t>
  </si>
  <si>
    <t>https://ieeexplore.ieee.org/servlet/opac?punumber=43</t>
  </si>
  <si>
    <t>T-C</t>
  </si>
  <si>
    <t>IEEE Transactions on Computers</t>
  </si>
  <si>
    <t>0018-9340</t>
  </si>
  <si>
    <t>1557-9956</t>
  </si>
  <si>
    <t>https://ieeexplore.ieee.org/servlet/opac?punumber=12</t>
  </si>
  <si>
    <t>T-CE</t>
  </si>
  <si>
    <t>IEEE Transactions on Consumer Electronics</t>
  </si>
  <si>
    <t>0098-3063</t>
  </si>
  <si>
    <t>1558-4127</t>
  </si>
  <si>
    <t>https://ieeexplore.ieee.org/servlet/opac?punumber=30</t>
  </si>
  <si>
    <t>T-CNS</t>
  </si>
  <si>
    <t>IEEE Transactions on Control of Network Systems</t>
  </si>
  <si>
    <t>2325-5870</t>
  </si>
  <si>
    <t>2372-2533</t>
  </si>
  <si>
    <t>https://ieeexplore.ieee.org/servlet/opac?punumber=6509490</t>
  </si>
  <si>
    <t>T-CST</t>
  </si>
  <si>
    <t>IEEE Transactions on Control Systems Technology</t>
  </si>
  <si>
    <t>1063-6536</t>
  </si>
  <si>
    <t>1558-0865</t>
  </si>
  <si>
    <t>https://ieeexplore.ieee.org/servlet/opac?punumber=87</t>
  </si>
  <si>
    <t>T-CYB</t>
  </si>
  <si>
    <t>IEEE Transactions on Cybernetics</t>
  </si>
  <si>
    <t>2168-2267</t>
  </si>
  <si>
    <t>2168-2275</t>
  </si>
  <si>
    <t>https://ieeexplore.ieee.org/servlet/opac?punumber=6221036</t>
  </si>
  <si>
    <t>T-DSC</t>
  </si>
  <si>
    <t>IEEE Transactions on Dependable and Secure Computing</t>
  </si>
  <si>
    <t>1545-5971</t>
  </si>
  <si>
    <t>1941-0018</t>
  </si>
  <si>
    <t>https://ieeexplore.ieee.org/servlet/opac?punumber=8858</t>
  </si>
  <si>
    <t>T-DMR</t>
  </si>
  <si>
    <t>IEEE Transactions on Device and Materials Reliability</t>
  </si>
  <si>
    <t>1530-4388</t>
  </si>
  <si>
    <t>1558-2574</t>
  </si>
  <si>
    <t>https://ieeexplore.ieee.org/servlet/opac?punumber=7298</t>
  </si>
  <si>
    <t>T-DEI</t>
  </si>
  <si>
    <t>IEEE Transactions on Dielectrics and Electrical Insulation</t>
  </si>
  <si>
    <t>1070-9878</t>
  </si>
  <si>
    <t>1558-4135</t>
  </si>
  <si>
    <t>https://ieeexplore.ieee.org/servlet/opac?punumber=94</t>
  </si>
  <si>
    <t>T-E</t>
  </si>
  <si>
    <t>IEEE Transactions on Education</t>
  </si>
  <si>
    <t>0018-9359</t>
  </si>
  <si>
    <t>1557-9638</t>
  </si>
  <si>
    <t>https://ieeexplore.ieee.org/servlet/opac?punumber=13</t>
  </si>
  <si>
    <t>T-EMC</t>
  </si>
  <si>
    <t>IEEE Transactions on Electromagnetic Compatibility</t>
  </si>
  <si>
    <t>0018-9375</t>
  </si>
  <si>
    <t>1558-187X</t>
  </si>
  <si>
    <t>https://ieeexplore.ieee.org/servlet/opac?punumber=15</t>
  </si>
  <si>
    <t>T-ED</t>
  </si>
  <si>
    <t>IEEE Transactions on Electron Devices</t>
  </si>
  <si>
    <t>0018-9383</t>
  </si>
  <si>
    <t>1557-9646</t>
  </si>
  <si>
    <t>https://ieeexplore.ieee.org/servlet/opac?punumber=16</t>
  </si>
  <si>
    <t>T-ETCI</t>
  </si>
  <si>
    <t>IEEE Transactions on Emerging Topics in Computational Intelligence</t>
  </si>
  <si>
    <t>2471-285X</t>
  </si>
  <si>
    <t>https://ieeexplore.ieee.org/servlet/opac?punumber=7433297</t>
  </si>
  <si>
    <t>T-ETC</t>
  </si>
  <si>
    <t>IEEE Transactions on Emerging Topics in Computing</t>
  </si>
  <si>
    <t>2168-6750</t>
  </si>
  <si>
    <t>https://ieeexplore.ieee.org/servlet/opac?punumber=6245516</t>
  </si>
  <si>
    <t>T-EC</t>
  </si>
  <si>
    <t>IEEE Transactions on Energy Conversion</t>
  </si>
  <si>
    <t>0885-8969</t>
  </si>
  <si>
    <t>1558-0059</t>
  </si>
  <si>
    <t>https://ieeexplore.ieee.org/servlet/opac?punumber=60</t>
  </si>
  <si>
    <t>T-EMPR</t>
  </si>
  <si>
    <t>IEEE Transactions on Energy Markets, Policy and Regulation</t>
  </si>
  <si>
    <t>2771-9626</t>
  </si>
  <si>
    <t>https://ieeexplore.ieee.org/servlet/opac?punumber=9794458</t>
  </si>
  <si>
    <t>T-EM</t>
  </si>
  <si>
    <t>IEEE Transactions on Engineering Management</t>
  </si>
  <si>
    <t>0018-9391</t>
  </si>
  <si>
    <t>1558-0040</t>
  </si>
  <si>
    <t>SSCI</t>
  </si>
  <si>
    <t>https://ieeexplore.ieee.org/servlet/opac?punumber=17</t>
  </si>
  <si>
    <t>T-EVC</t>
  </si>
  <si>
    <t>IEEE Transactions on Evolutionary Computation</t>
  </si>
  <si>
    <t>1089-778X</t>
  </si>
  <si>
    <t>1941-0026</t>
  </si>
  <si>
    <t>https://ieeexplore.ieee.org/servlet/opac?punumber=4235</t>
  </si>
  <si>
    <t>T-FR</t>
  </si>
  <si>
    <t>IEEE Transactions on Field Robotics</t>
  </si>
  <si>
    <t>2997-1101</t>
  </si>
  <si>
    <t>https://ieeexplore.ieee.org/servlet/opac?punumber=10495159</t>
  </si>
  <si>
    <t>T-FUZZ</t>
  </si>
  <si>
    <t>IEEE Transactions on Fuzzy Systems</t>
  </si>
  <si>
    <t>1063-6706</t>
  </si>
  <si>
    <t>1941-0034</t>
  </si>
  <si>
    <t>https://ieeexplore.ieee.org/servlet/opac?punumber=91</t>
  </si>
  <si>
    <t>T-G</t>
  </si>
  <si>
    <t>IEEE Transactions on Games</t>
  </si>
  <si>
    <t>2475-1502</t>
  </si>
  <si>
    <t>2475-1510</t>
  </si>
  <si>
    <t>https://ieeexplore.ieee.org/servlet/opac?punumber=7782673</t>
  </si>
  <si>
    <t>T-GRS</t>
  </si>
  <si>
    <t>IEEE Transactions on Geoscience and Remote Sensing</t>
  </si>
  <si>
    <t>0196-2892</t>
  </si>
  <si>
    <t>1558-0644</t>
  </si>
  <si>
    <t>https://ieeexplore.ieee.org/servlet/opac?punumber=36</t>
  </si>
  <si>
    <t>T-GCN</t>
  </si>
  <si>
    <t>IEEE Transactions on Green Communications and Networking</t>
  </si>
  <si>
    <t>2473-2400</t>
  </si>
  <si>
    <t>https://ieeexplore.ieee.org/servlet/opac?punumber=7511293</t>
  </si>
  <si>
    <t>T-H</t>
  </si>
  <si>
    <t>IEEE Transactions on Haptics</t>
  </si>
  <si>
    <t>1939-1412</t>
  </si>
  <si>
    <t>2329-4051</t>
  </si>
  <si>
    <t>https://ieeexplore.ieee.org/servlet/opac?punumber=4543165</t>
  </si>
  <si>
    <t>T-HMS</t>
  </si>
  <si>
    <t>IEEE Transactions on Human-Machine Systems</t>
  </si>
  <si>
    <t>2168-2291</t>
  </si>
  <si>
    <t>2168-2305</t>
  </si>
  <si>
    <t>https://ieeexplore.ieee.org/servlet/opac?punumber=6221037</t>
  </si>
  <si>
    <t>T-IP</t>
  </si>
  <si>
    <t>IEEE Transactions on Image Processing</t>
  </si>
  <si>
    <t>1057-7149</t>
  </si>
  <si>
    <t>1941-0042</t>
  </si>
  <si>
    <t>https://ieeexplore.ieee.org/servlet/opac?punumber=83</t>
  </si>
  <si>
    <t>T-ICPS</t>
  </si>
  <si>
    <t>IEEE Transactions on Industrial Cyber-Physical Systems</t>
  </si>
  <si>
    <t>2832-7004</t>
  </si>
  <si>
    <t>https://ieeexplore.ieee.org/servlet/opac?punumber=9984155</t>
  </si>
  <si>
    <t>T-IE</t>
  </si>
  <si>
    <t>IEEE Transactions on Industrial Electronics</t>
  </si>
  <si>
    <t>0278-0046</t>
  </si>
  <si>
    <t>1557-9948</t>
  </si>
  <si>
    <t>https://ieeexplore.ieee.org/servlet/opac?punumber=41</t>
  </si>
  <si>
    <t>T-IINF</t>
  </si>
  <si>
    <t>IEEE Transactions on Industrial Informatics</t>
  </si>
  <si>
    <t>1551-3203</t>
  </si>
  <si>
    <t>1941-0050</t>
  </si>
  <si>
    <t>https://ieeexplore.ieee.org/servlet/opac?punumber=9424</t>
  </si>
  <si>
    <t>T-IA</t>
  </si>
  <si>
    <t>IEEE Transactions on Industry Applications</t>
  </si>
  <si>
    <t>0093-9994</t>
  </si>
  <si>
    <t>1939-9367</t>
  </si>
  <si>
    <t>https://ieeexplore.ieee.org/servlet/opac?punumber=28</t>
  </si>
  <si>
    <t>T-IFS</t>
  </si>
  <si>
    <t>IEEE Transactions on Information Forensics and Security</t>
  </si>
  <si>
    <t>1556-6013</t>
  </si>
  <si>
    <t>1556-6021</t>
  </si>
  <si>
    <t>https://ieeexplore.ieee.org/servlet/opac?punumber=10206</t>
  </si>
  <si>
    <t>T-IT</t>
  </si>
  <si>
    <t>IEEE Transactions on Information Theory</t>
  </si>
  <si>
    <t>0018-9448</t>
  </si>
  <si>
    <t>1557-9654</t>
  </si>
  <si>
    <t>https://ieeexplore.ieee.org/servlet/opac?punumber=18</t>
  </si>
  <si>
    <t>T-IM</t>
  </si>
  <si>
    <t>IEEE Transactions on Instrumentation and Measurement</t>
  </si>
  <si>
    <t>0018-9456</t>
  </si>
  <si>
    <t>1557-9662</t>
  </si>
  <si>
    <t>https://ieeexplore.ieee.org/servlet/opac?punumber=19</t>
  </si>
  <si>
    <t>T-ITS</t>
  </si>
  <si>
    <t>IEEE Transactions on Intelligent Transportation Systems</t>
  </si>
  <si>
    <t>1524-9050</t>
  </si>
  <si>
    <t>1558-0016</t>
  </si>
  <si>
    <t>https://ieeexplore.ieee.org/servlet/opac?punumber=6979</t>
  </si>
  <si>
    <t>T-IV</t>
  </si>
  <si>
    <t>IEEE Transactions on Intelligent Vehicles</t>
  </si>
  <si>
    <t>2379-8858</t>
  </si>
  <si>
    <t>2379-8904</t>
  </si>
  <si>
    <t>https://ieeexplore.ieee.org/servlet/opac?punumber=7274857</t>
  </si>
  <si>
    <t>T-KDE</t>
  </si>
  <si>
    <t>IEEE Transactions on Knowledge and Data Engineering</t>
  </si>
  <si>
    <t>1041-4347</t>
  </si>
  <si>
    <t>1558-2191</t>
  </si>
  <si>
    <t>https://ieeexplore.ieee.org/servlet/opac?punumber=69</t>
  </si>
  <si>
    <t>T-LT</t>
  </si>
  <si>
    <t>IEEE Transactions on Learning Technologies</t>
  </si>
  <si>
    <t>1939-1382</t>
  </si>
  <si>
    <t>https://ieeexplore.ieee.org/servlet/opac?punumber=4620076</t>
  </si>
  <si>
    <t>T-MAG</t>
  </si>
  <si>
    <t>IEEE Transactions on Magnetics</t>
  </si>
  <si>
    <t>0018-9464</t>
  </si>
  <si>
    <t>1941-0069</t>
  </si>
  <si>
    <t>https://ieeexplore.ieee.org/servlet/opac?punumber=20</t>
  </si>
  <si>
    <t>T-MAT</t>
  </si>
  <si>
    <t>IEEE Transactions on Materials for Electron Devices</t>
  </si>
  <si>
    <t>2993-1576</t>
  </si>
  <si>
    <t>https://ieeexplore.ieee.org/servlet/opac?punumber=10167711</t>
  </si>
  <si>
    <t>T-MI</t>
  </si>
  <si>
    <t>IEEE Transactions on Medical Imaging</t>
  </si>
  <si>
    <t>0278-0062</t>
  </si>
  <si>
    <t>1558-254X</t>
  </si>
  <si>
    <t>https://ieeexplore.ieee.org/servlet/opac?punumber=42</t>
  </si>
  <si>
    <t>T-MRB</t>
  </si>
  <si>
    <t>IEEE Transactions on Medical Robotics and Bionics</t>
  </si>
  <si>
    <t>2576-3202</t>
  </si>
  <si>
    <t>https://ieeexplore.ieee.org/servlet/opac?punumber=8253409</t>
  </si>
  <si>
    <t>T-MTT</t>
  </si>
  <si>
    <t>IEEE Transactions on Microwave Theory and Techniques</t>
  </si>
  <si>
    <t>0018-9480</t>
  </si>
  <si>
    <t>1557-9670</t>
  </si>
  <si>
    <t>https://ieeexplore.ieee.org/servlet/opac?punumber=22</t>
  </si>
  <si>
    <t>T-MC</t>
  </si>
  <si>
    <t>IEEE Transactions on Mobile Computing</t>
  </si>
  <si>
    <t>1536-1233</t>
  </si>
  <si>
    <t>1558-0660</t>
  </si>
  <si>
    <t>https://ieeexplore.ieee.org/servlet/opac?punumber=7755</t>
  </si>
  <si>
    <t>T-MBMSC</t>
  </si>
  <si>
    <t>IEEE Transactions on Molecular, Biological, and Multi-Scale Communications</t>
  </si>
  <si>
    <t>2332-7804</t>
  </si>
  <si>
    <t>https://ieeexplore.ieee.org/servlet/opac?punumber=6687308</t>
  </si>
  <si>
    <t>T-MM</t>
  </si>
  <si>
    <t>IEEE Transactions on Multimedia</t>
  </si>
  <si>
    <t>1520-9210</t>
  </si>
  <si>
    <t>1941-0077</t>
  </si>
  <si>
    <t>https://ieeexplore.ieee.org/servlet/opac?punumber=6046</t>
  </si>
  <si>
    <t>T-NB</t>
  </si>
  <si>
    <t>IEEE Transactions on NanoBioscience</t>
  </si>
  <si>
    <t>1536-1241</t>
  </si>
  <si>
    <t>1558-2639</t>
  </si>
  <si>
    <t>https://ieeexplore.ieee.org/servlet/opac?punumber=7728</t>
  </si>
  <si>
    <t>T-NANO</t>
  </si>
  <si>
    <t>IEEE Transactions on Nanotechnology</t>
  </si>
  <si>
    <t>1536-125X</t>
  </si>
  <si>
    <t>1941-0085</t>
  </si>
  <si>
    <t>https://ieeexplore.ieee.org/servlet/opac?punumber=7729</t>
  </si>
  <si>
    <t>T-NSM</t>
  </si>
  <si>
    <t>IEEE Transactions on Network and Service Management</t>
  </si>
  <si>
    <t>1932-4537</t>
  </si>
  <si>
    <t>https://ieeexplore.ieee.org/servlet/opac?punumber=4275028</t>
  </si>
  <si>
    <t>T-NSE</t>
  </si>
  <si>
    <t>IEEE Transactions on Network Science and Engineering</t>
  </si>
  <si>
    <t>2327-4697</t>
  </si>
  <si>
    <t>https://ieeexplore.ieee.org/servlet/opac?punumber=6488902</t>
  </si>
  <si>
    <t>T-ON</t>
  </si>
  <si>
    <t>IEEE Transactions on Networking§</t>
  </si>
  <si>
    <t>2998-4157</t>
  </si>
  <si>
    <t>https://ieeexplore.ieee.org/servlet/opac?punumber=10723154</t>
  </si>
  <si>
    <t>T-NNLS</t>
  </si>
  <si>
    <t>IEEE Transactions on Neural Networks and Learning Systems</t>
  </si>
  <si>
    <t>2162-237X</t>
  </si>
  <si>
    <t>2162-2388</t>
  </si>
  <si>
    <t>https://ieeexplore.ieee.org/servlet/opac?punumber=5962385</t>
  </si>
  <si>
    <t>T-NS</t>
  </si>
  <si>
    <t>IEEE Transactions on Nuclear Science</t>
  </si>
  <si>
    <t>0018-9499</t>
  </si>
  <si>
    <t>1558-1578</t>
  </si>
  <si>
    <t>https://ieeexplore.ieee.org/servlet/opac?punumber=23</t>
  </si>
  <si>
    <t>T-PDS</t>
  </si>
  <si>
    <t>IEEE Transactions on Parallel and Distributed Systems</t>
  </si>
  <si>
    <t>1045-9219</t>
  </si>
  <si>
    <t>1558-2183</t>
  </si>
  <si>
    <t>https://ieeexplore.ieee.org/servlet/opac?punumber=71</t>
  </si>
  <si>
    <t>T-PAMI</t>
  </si>
  <si>
    <t>IEEE Transactions on Pattern Analysis and Machine Intelligence</t>
  </si>
  <si>
    <t>0162-8828</t>
  </si>
  <si>
    <t>1939-3539</t>
  </si>
  <si>
    <t>https://ieeexplore.ieee.org/servlet/opac?punumber=34</t>
  </si>
  <si>
    <t>T-PS</t>
  </si>
  <si>
    <t>IEEE Transactions on Plasma Science</t>
  </si>
  <si>
    <t>0093-3813</t>
  </si>
  <si>
    <t>1939-9375</t>
  </si>
  <si>
    <t>https://ieeexplore.ieee.org/servlet/opac?punumber=27</t>
  </si>
  <si>
    <t>T-PWRD</t>
  </si>
  <si>
    <t>IEEE Transactions on Power Delivery</t>
  </si>
  <si>
    <t>0885-8977</t>
  </si>
  <si>
    <t>1937-4208</t>
  </si>
  <si>
    <t>https://ieeexplore.ieee.org/servlet/opac?punumber=61</t>
  </si>
  <si>
    <t>T-PEL</t>
  </si>
  <si>
    <t>IEEE Transactions on Power Electronics</t>
  </si>
  <si>
    <t>0885-8993</t>
  </si>
  <si>
    <t>1941-0107</t>
  </si>
  <si>
    <t>https://ieeexplore.ieee.org/servlet/opac?punumber=63</t>
  </si>
  <si>
    <t>T-PWRS</t>
  </si>
  <si>
    <t>IEEE Transactions on Power Systems</t>
  </si>
  <si>
    <t>0885-8950</t>
  </si>
  <si>
    <t>1558-0679</t>
  </si>
  <si>
    <t>https://ieeexplore.ieee.org/servlet/opac?punumber=59</t>
  </si>
  <si>
    <t>T-PC</t>
  </si>
  <si>
    <t>IEEE Transactions on Professional Communication</t>
  </si>
  <si>
    <t>0361-1434</t>
  </si>
  <si>
    <t>1558-1500</t>
  </si>
  <si>
    <t>https://ieeexplore.ieee.org/servlet/opac?punumber=47</t>
  </si>
  <si>
    <t>T-RS</t>
  </si>
  <si>
    <t>IEEE Transactions on Radar Systems</t>
  </si>
  <si>
    <t>2832-7357</t>
  </si>
  <si>
    <t>https://ieeexplore.ieee.org/servlet/opac?punumber=9931145</t>
  </si>
  <si>
    <t>T-RPMS</t>
  </si>
  <si>
    <t>IEEE Transactions on Radiation and Plasma Medical Sciences</t>
  </si>
  <si>
    <t>2469-7311</t>
  </si>
  <si>
    <t>2469-7303</t>
  </si>
  <si>
    <t>https://ieeexplore.ieee.org/servlet/opac?punumber=7433213</t>
  </si>
  <si>
    <t>T-R</t>
  </si>
  <si>
    <t>IEEE Transactions on Reliability</t>
  </si>
  <si>
    <t>0018-9529</t>
  </si>
  <si>
    <t>1558-1721</t>
  </si>
  <si>
    <t>https://ieeexplore.ieee.org/servlet/opac?punumber=24</t>
  </si>
  <si>
    <t>T-RL</t>
  </si>
  <si>
    <t>IEEE Transactions on Robot Learning Coming in 2026/2027</t>
  </si>
  <si>
    <t>3070-1120</t>
  </si>
  <si>
    <t>https://ieeexplore.ieee.org/servlet/opac?punumber=11359445</t>
  </si>
  <si>
    <t>T-RO</t>
  </si>
  <si>
    <t>IEEE Transactions on Robotics</t>
  </si>
  <si>
    <t>1552-3098</t>
  </si>
  <si>
    <t>1941-0468</t>
  </si>
  <si>
    <t>https://ieeexplore.ieee.org/servlet/opac?punumber=8860</t>
  </si>
  <si>
    <t>T-SCM</t>
  </si>
  <si>
    <t>IEEE Transactions on Semiconductor Manufacturing</t>
  </si>
  <si>
    <t>0894-6507</t>
  </si>
  <si>
    <t>1558-2345</t>
  </si>
  <si>
    <t>https://ieeexplore.ieee.org/servlet/opac?punumber=66</t>
  </si>
  <si>
    <t>T-SC</t>
  </si>
  <si>
    <t>IEEE Transactions on Services Computing</t>
  </si>
  <si>
    <t>1939-1374</t>
  </si>
  <si>
    <t>https://ieeexplore.ieee.org/servlet/opac?punumber=4629386</t>
  </si>
  <si>
    <t>T-SIPN</t>
  </si>
  <si>
    <t>IEEE Transactions on Signal and Information Processing over Networks</t>
  </si>
  <si>
    <t>2373-776X</t>
  </si>
  <si>
    <t>https://ieeexplore.ieee.org/servlet/opac?punumber=6884276</t>
  </si>
  <si>
    <t>T-SPI</t>
  </si>
  <si>
    <t>IEEE Transactions on Signal and Power Integrity</t>
  </si>
  <si>
    <t>2768-1866</t>
  </si>
  <si>
    <t>https://ieeexplore.ieee.org/servlet/opac?punumber=9745882</t>
  </si>
  <si>
    <t>T-SP</t>
  </si>
  <si>
    <t>IEEE Transactions on Signal Processing</t>
  </si>
  <si>
    <t>1053-587X</t>
  </si>
  <si>
    <t>1941-0476</t>
  </si>
  <si>
    <t>https://ieeexplore.ieee.org/servlet/opac?punumber=78</t>
  </si>
  <si>
    <t>T-SG</t>
  </si>
  <si>
    <t>IEEE Transactions on Smart Grid</t>
  </si>
  <si>
    <t>1949-3053</t>
  </si>
  <si>
    <t>1949-3061</t>
  </si>
  <si>
    <t>https://ieeexplore.ieee.org/servlet/opac?punumber=5165411</t>
  </si>
  <si>
    <t>TSRO</t>
  </si>
  <si>
    <t>IEEE Transactions on Soft Robotics Coming in 2026/2027</t>
  </si>
  <si>
    <t>3071-4397</t>
  </si>
  <si>
    <t>https://ieeexplore.ieee.org/servlet/opac?punumber=11474543</t>
  </si>
  <si>
    <t>T-SE</t>
  </si>
  <si>
    <t>IEEE Transactions on Software Engineering</t>
  </si>
  <si>
    <t>0098-5589</t>
  </si>
  <si>
    <t>1939-3520</t>
  </si>
  <si>
    <t>https://ieeexplore.ieee.org/servlet/opac?punumber=32</t>
  </si>
  <si>
    <t>T-SUSC</t>
  </si>
  <si>
    <t>IEEE Transactions on Sustainable Computing</t>
  </si>
  <si>
    <t>2377-3782</t>
  </si>
  <si>
    <t>https://ieeexplore.ieee.org/servlet/opac?punumber=7274860</t>
  </si>
  <si>
    <t>T-STE</t>
  </si>
  <si>
    <t>IEEE Transactions on Sustainable Energy</t>
  </si>
  <si>
    <t>1949-3029</t>
  </si>
  <si>
    <t>1949-3037</t>
  </si>
  <si>
    <t>https://ieeexplore.ieee.org/servlet/opac?punumber=5165391</t>
  </si>
  <si>
    <t>T-SMC</t>
  </si>
  <si>
    <t>IEEE Transactions on Systems, Man, and Cybernetics: Systems</t>
  </si>
  <si>
    <t>2168-2216</t>
  </si>
  <si>
    <t>2168-2232</t>
  </si>
  <si>
    <t>https://ieeexplore.ieee.org/servlet/opac?punumber=6221021</t>
  </si>
  <si>
    <t>T-TS</t>
  </si>
  <si>
    <t>IEEE Transactions on Technology and Society</t>
  </si>
  <si>
    <t>2637-6415</t>
  </si>
  <si>
    <t>https://ieeexplore.ieee.org/servlet/opac?punumber=8566059</t>
  </si>
  <si>
    <t>T-THZ</t>
  </si>
  <si>
    <t>IEEE Transactions on Terahertz Science and Technology</t>
  </si>
  <si>
    <t>2156-342X</t>
  </si>
  <si>
    <t>2156-3446</t>
  </si>
  <si>
    <t>https://ieeexplore.ieee.org/servlet/opac?punumber=5503871</t>
  </si>
  <si>
    <t>T-TE</t>
  </si>
  <si>
    <t>IEEE Transactions on Transportation Electrification</t>
  </si>
  <si>
    <t>2332-7782</t>
  </si>
  <si>
    <t>https://ieeexplore.ieee.org/servlet/opac?punumber=6687316</t>
  </si>
  <si>
    <t>T-USON</t>
  </si>
  <si>
    <t>IEEE Transactions on Ultrasonics‖</t>
  </si>
  <si>
    <t>3066-9464</t>
  </si>
  <si>
    <t>https://ieeexplore.ieee.org/servlet/opac?punumber=11073821</t>
  </si>
  <si>
    <t>T-VT</t>
  </si>
  <si>
    <t>IEEE Transactions on Vehicular Technology</t>
  </si>
  <si>
    <t>0018-9545</t>
  </si>
  <si>
    <t>1939-9359</t>
  </si>
  <si>
    <t>https://ieeexplore.ieee.org/servlet/opac?punumber=25</t>
  </si>
  <si>
    <t>T-VLSI</t>
  </si>
  <si>
    <t>IEEE Transactions on Very Large Scale Integration (VLSI) Systems</t>
  </si>
  <si>
    <t>1063-8210</t>
  </si>
  <si>
    <t>1557-9999</t>
  </si>
  <si>
    <t>https://ieeexplore.ieee.org/servlet/opac?punumber=92</t>
  </si>
  <si>
    <t>T-VCG</t>
  </si>
  <si>
    <t>IEEE Transactions on Visualization and Computer Graphics</t>
  </si>
  <si>
    <t>1077-2626</t>
  </si>
  <si>
    <t>1941-0506</t>
  </si>
  <si>
    <t>https://ieeexplore.ieee.org/servlet/opac?punumber=2945</t>
  </si>
  <si>
    <t>T-WC</t>
  </si>
  <si>
    <t>IEEE Transactions on Wireless Communications</t>
  </si>
  <si>
    <t>1536-1276</t>
  </si>
  <si>
    <t>1558-2248</t>
  </si>
  <si>
    <t>https://ieeexplore.ieee.org/servlet/opac?punumber=7693</t>
  </si>
  <si>
    <t>M-VT</t>
  </si>
  <si>
    <t>IEEE Vehicular Technology Magazine</t>
  </si>
  <si>
    <t>1556-6072</t>
  </si>
  <si>
    <t>1556-6080</t>
  </si>
  <si>
    <t>https://ieeexplore.ieee.org/servlet/opac?punumber=10209</t>
  </si>
  <si>
    <t>M-WC</t>
  </si>
  <si>
    <t>IEEE Wireless Communications</t>
  </si>
  <si>
    <t>1536-1284</t>
  </si>
  <si>
    <t>1558-0687</t>
  </si>
  <si>
    <t>https://ieeexplore.ieee.org/servlet/opac?punumber=7742</t>
  </si>
  <si>
    <t>L-WC</t>
  </si>
  <si>
    <t>IEEE Wireless Communications Letters</t>
  </si>
  <si>
    <t>2162-2337</t>
  </si>
  <si>
    <t>2162-2345</t>
  </si>
  <si>
    <t>https://ieeexplore.ieee.org/servlet/opac?punumber=5962382</t>
  </si>
  <si>
    <t>J-AS</t>
  </si>
  <si>
    <t>IEEE-CAA Journal of Automatica Sinica</t>
  </si>
  <si>
    <t>2329-9266</t>
  </si>
  <si>
    <t>2329-9274</t>
  </si>
  <si>
    <t>https://ieeexplore.ieee.org/servlet/opac?punumber=6570654</t>
  </si>
  <si>
    <t>T-MECH</t>
  </si>
  <si>
    <t>IEEE/ASME Transactions on Mechatronics</t>
  </si>
  <si>
    <t>1083-4435</t>
  </si>
  <si>
    <t>1941-014X</t>
  </si>
  <si>
    <t>https://ieeexplore.ieee.org/servlet/opac?punumber=3516</t>
  </si>
  <si>
    <t>M-ITPRO</t>
  </si>
  <si>
    <t>IT Professional</t>
  </si>
  <si>
    <t>1520-9202</t>
  </si>
  <si>
    <t>1941-045X</t>
  </si>
  <si>
    <t>https://ieeexplore.ieee.org/servlet/opac?punumber=6294</t>
  </si>
  <si>
    <t>J-LT</t>
  </si>
  <si>
    <t>Journal of Lightwave Technology</t>
  </si>
  <si>
    <t>0733-8724</t>
  </si>
  <si>
    <t>1558-2213</t>
  </si>
  <si>
    <t>https://ieeexplore.ieee.org/servlet/opac?punumber=50</t>
  </si>
  <si>
    <t>J-MEMS</t>
  </si>
  <si>
    <t>Journal of Microelectromechanical Systems</t>
  </si>
  <si>
    <t>1057-7157</t>
  </si>
  <si>
    <t>1941-0158</t>
  </si>
  <si>
    <t>https://ieeexplore.ieee.org/servlet/opac?punumber=84</t>
  </si>
  <si>
    <t>PROC</t>
  </si>
  <si>
    <t>Proceedings of the IEEE</t>
  </si>
  <si>
    <t>0018-9219</t>
  </si>
  <si>
    <t>1558-2256</t>
  </si>
  <si>
    <t>https://ieeexplore.ieee.org/servlet/opac?punumber=5</t>
  </si>
  <si>
    <t>M-AES</t>
  </si>
  <si>
    <t>IEEE Aerospace and Electronic Systems Magazine</t>
  </si>
  <si>
    <t>Subscriber Based Access Only</t>
  </si>
  <si>
    <t>0885-8985</t>
  </si>
  <si>
    <t>1557-959X</t>
  </si>
  <si>
    <t>https://ieeexplore.ieee.org/servlet/opac?punumber=62</t>
  </si>
  <si>
    <t>M-CAS</t>
  </si>
  <si>
    <t>IEEE Circuits and Systems Magazine</t>
  </si>
  <si>
    <t>1531-636X</t>
  </si>
  <si>
    <t>1558-0830</t>
  </si>
  <si>
    <t>https://ieeexplore.ieee.org/servlet/opac?punumber=7384</t>
  </si>
  <si>
    <t>M-CI</t>
  </si>
  <si>
    <t>IEEE Computational Intelligence Magazine</t>
  </si>
  <si>
    <t>1556-603X</t>
  </si>
  <si>
    <t>1556-6048</t>
  </si>
  <si>
    <t>https://ieeexplore.ieee.org/servlet/opac?punumber=10207</t>
  </si>
  <si>
    <t>M-CE</t>
  </si>
  <si>
    <t>IEEE Consumer Electronics Magazine</t>
  </si>
  <si>
    <t>2162-2248</t>
  </si>
  <si>
    <t>2162-2256</t>
  </si>
  <si>
    <t>https://ieeexplore.ieee.org/servlet/opac?punumber=5962380</t>
  </si>
  <si>
    <t>M-CS</t>
  </si>
  <si>
    <t>IEEE Control Systems</t>
  </si>
  <si>
    <t>1066-033X</t>
  </si>
  <si>
    <t>1941-000X</t>
  </si>
  <si>
    <t>https://ieeexplore.ieee.org/servlet/opac?punumber=5488303</t>
  </si>
  <si>
    <t>M-D&amp;T</t>
  </si>
  <si>
    <t>IEEE Design &amp; Test</t>
  </si>
  <si>
    <t>2168-2356</t>
  </si>
  <si>
    <t>2168-2364</t>
  </si>
  <si>
    <t>https://ieeexplore.ieee.org/servlet/opac?punumber=6221038</t>
  </si>
  <si>
    <t>E-M</t>
  </si>
  <si>
    <t>IEEE Electrification Magazine</t>
  </si>
  <si>
    <t>2325-5897</t>
  </si>
  <si>
    <t>2325-5889</t>
  </si>
  <si>
    <t>https://ieeexplore.ieee.org/servlet/opac?punumber=6508996</t>
  </si>
  <si>
    <t>ESM</t>
  </si>
  <si>
    <t>IEEE Energy Sustainability Magazine NEW for 2025</t>
  </si>
  <si>
    <t>2998-3991</t>
  </si>
  <si>
    <t>2998-4009</t>
  </si>
  <si>
    <t>https://ieeexplore.ieee.org/servlet/opac?punumber=10599323</t>
  </si>
  <si>
    <t>M-IE</t>
  </si>
  <si>
    <t>IEEE Industrial Electronics Magazine</t>
  </si>
  <si>
    <t>1932-4529</t>
  </si>
  <si>
    <t>1941-0115</t>
  </si>
  <si>
    <t>https://ieeexplore.ieee.org/servlet/opac?punumber=4154573</t>
  </si>
  <si>
    <t>M-ITS</t>
  </si>
  <si>
    <t>IEEE Intelligent Transportation Systems Magazine</t>
  </si>
  <si>
    <t>1939-1390</t>
  </si>
  <si>
    <t>1941-1197</t>
  </si>
  <si>
    <t>https://ieeexplore.ieee.org/servlet/opac?punumber=5117645</t>
  </si>
  <si>
    <t>TLA</t>
  </si>
  <si>
    <t>IEEE Latin America Transactions</t>
  </si>
  <si>
    <t>1548-0992</t>
  </si>
  <si>
    <t>https://ieeexplore.ieee.org/servlet/opac?punumber=9907</t>
  </si>
  <si>
    <t>M-MW</t>
  </si>
  <si>
    <t>IEEE Microwave Magazine</t>
  </si>
  <si>
    <t>1527-3342</t>
  </si>
  <si>
    <t>1557-9581</t>
  </si>
  <si>
    <t>https://ieeexplore.ieee.org/servlet/opac?punumber=6668</t>
  </si>
  <si>
    <t>M-NANO</t>
  </si>
  <si>
    <t>IEEE Nanotechnology Magazine</t>
  </si>
  <si>
    <t>1932-4510</t>
  </si>
  <si>
    <t>1942-7808</t>
  </si>
  <si>
    <t>https://ieeexplore.ieee.org/servlet/opac?punumber=4451717</t>
  </si>
  <si>
    <t>STM</t>
  </si>
  <si>
    <t>IEEE Potentials</t>
  </si>
  <si>
    <t>0278-6648</t>
  </si>
  <si>
    <t>1558-1772</t>
  </si>
  <si>
    <t>https://ieeexplore.ieee.org/servlet/opac?punumber=45</t>
  </si>
  <si>
    <t>M-P&amp;E</t>
  </si>
  <si>
    <t>IEEE Power and Energy Magazine</t>
  </si>
  <si>
    <t>1540-7977</t>
  </si>
  <si>
    <t>1558-4216</t>
  </si>
  <si>
    <t>https://ieeexplore.ieee.org/servlet/opac?punumber=8014</t>
  </si>
  <si>
    <t>M-PEL</t>
  </si>
  <si>
    <t>IEEE Power Electronics Magazine</t>
  </si>
  <si>
    <t>2329-9207</t>
  </si>
  <si>
    <t>2329-9215</t>
  </si>
  <si>
    <t>https://ieeexplore.ieee.org/servlet/opac?punumber=6570649</t>
  </si>
  <si>
    <t>M-PULSE</t>
  </si>
  <si>
    <t>IEEE Pulse</t>
  </si>
  <si>
    <t>2154-2287</t>
  </si>
  <si>
    <t>2154-2317</t>
  </si>
  <si>
    <t>https://ieeexplore.ieee.org/servlet/opac?punumber=5454060</t>
  </si>
  <si>
    <t>M-SP</t>
  </si>
  <si>
    <t>IEEE Signal Processing Magazine</t>
  </si>
  <si>
    <t>1053-5888</t>
  </si>
  <si>
    <t>1558-0792</t>
  </si>
  <si>
    <t>https://ieeexplore.ieee.org/servlet/opac?punumber=79</t>
  </si>
  <si>
    <t>M-SSC</t>
  </si>
  <si>
    <t>IEEE Solid-State Circuits Magazine</t>
  </si>
  <si>
    <t>1943-0582</t>
  </si>
  <si>
    <t>1943-0590</t>
  </si>
  <si>
    <t>https://ieeexplore.ieee.org/servlet/opac?punumber=4563670</t>
  </si>
  <si>
    <t>M-SMC</t>
  </si>
  <si>
    <t>IEEE Systems, Man, and Cybernetics Magazine</t>
  </si>
  <si>
    <t>2380-1298</t>
  </si>
  <si>
    <t>2333-942X</t>
  </si>
  <si>
    <t>https://ieeexplore.ieee.org/servlet/opac?punumber=6745853</t>
  </si>
  <si>
    <t>M-T&amp;S</t>
  </si>
  <si>
    <t>IEEE Technology and Society Magazine</t>
  </si>
  <si>
    <t>0278-0097</t>
  </si>
  <si>
    <t>1937-416X</t>
  </si>
  <si>
    <t>https://ieeexplore.ieee.org/servlet/opac?punumber=44</t>
  </si>
  <si>
    <t>M-WIE</t>
  </si>
  <si>
    <t>IEEE Women in Engineering Magazine</t>
  </si>
  <si>
    <t>1942-065X</t>
  </si>
  <si>
    <t>1942-0668</t>
  </si>
  <si>
    <t>https://ieeexplore.ieee.org/servlet/opac?punumber=4509581</t>
  </si>
  <si>
    <t>*Data based on the 2025 Journal Citation Reports™ (JCR) study, released in June 2026</t>
  </si>
  <si>
    <t>2025 CiteScore Metrics from Scopus, released June 2026</t>
  </si>
  <si>
    <t>† All rankings are for the former title: IEEE/ACM Transactions on Audio, Speech, and Language Processing</t>
  </si>
  <si>
    <t>‡ JCR Ranking is for the former title: IEEE/ACM Transactions on Computational Biology and Bioinformatics, CiteScore ranking is based on the new title</t>
  </si>
  <si>
    <t>§ JCR Ranking is for the former title: IEEE/ACM Transactions on Networking, CiteScore ranking is based on the new title</t>
  </si>
  <si>
    <t>‖ All rankings are for the former title: IEEE Transactions on Ultrasonics, Ferroelectrics, and Frequency Control</t>
  </si>
  <si>
    <t>All data is accurate as of 15 August 2026 and is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</si>
</sst>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6"/>
      <color rgb="FF000000"/>
      <name val="Calibri"/>
    </font>
    <font>
      <b/>
      <u/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sz val="10"/>
      <color theme="1"/>
      <name val="Arial"/>
      <scheme val="minor"/>
    </font>
    <font>
      <u/>
      <sz val="12"/>
      <color rgb="FF1155CC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eeexplore.ieee.org/servlet/opac?punumber=8856" TargetMode="External"/><Relationship Id="rId21" Type="http://schemas.openxmlformats.org/officeDocument/2006/relationships/hyperlink" Target="https://ieeexplore.ieee.org/servlet/opac?punumber=8782709" TargetMode="External"/><Relationship Id="rId42" Type="http://schemas.openxmlformats.org/officeDocument/2006/relationships/hyperlink" Target="https://ieeexplore.ieee.org/servlet/opac?punumber=7727" TargetMode="External"/><Relationship Id="rId63" Type="http://schemas.openxmlformats.org/officeDocument/2006/relationships/hyperlink" Target="https://ieeexplore.ieee.org/servlet/opac?punumber=9670" TargetMode="External"/><Relationship Id="rId84" Type="http://schemas.openxmlformats.org/officeDocument/2006/relationships/hyperlink" Target="https://ieeexplore.ieee.org/servlet/opac?punumber=10918859" TargetMode="External"/><Relationship Id="rId138" Type="http://schemas.openxmlformats.org/officeDocument/2006/relationships/hyperlink" Target="https://ieeexplore.ieee.org/servlet/opac?punumber=6509490" TargetMode="External"/><Relationship Id="rId159" Type="http://schemas.openxmlformats.org/officeDocument/2006/relationships/hyperlink" Target="https://ieeexplore.ieee.org/servlet/opac?punumber=6221037" TargetMode="External"/><Relationship Id="rId170" Type="http://schemas.openxmlformats.org/officeDocument/2006/relationships/hyperlink" Target="https://ieeexplore.ieee.org/servlet/opac?punumber=69" TargetMode="External"/><Relationship Id="rId191" Type="http://schemas.openxmlformats.org/officeDocument/2006/relationships/hyperlink" Target="https://ieeexplore.ieee.org/servlet/opac?punumber=63" TargetMode="External"/><Relationship Id="rId205" Type="http://schemas.openxmlformats.org/officeDocument/2006/relationships/hyperlink" Target="https://ieeexplore.ieee.org/servlet/opac?punumber=11474543" TargetMode="External"/><Relationship Id="rId226" Type="http://schemas.openxmlformats.org/officeDocument/2006/relationships/hyperlink" Target="https://ieeexplore.ieee.org/servlet/opac?punumber=5" TargetMode="External"/><Relationship Id="rId247" Type="http://schemas.openxmlformats.org/officeDocument/2006/relationships/hyperlink" Target="https://ieeexplore.ieee.org/servlet/opac?punumber=44" TargetMode="External"/><Relationship Id="rId107" Type="http://schemas.openxmlformats.org/officeDocument/2006/relationships/hyperlink" Target="https://ieeexplore.ieee.org/servlet/opac?punumber=6" TargetMode="External"/><Relationship Id="rId11" Type="http://schemas.openxmlformats.org/officeDocument/2006/relationships/hyperlink" Target="https://ieeexplore.ieee.org/servlet/opac?punumber=6570653" TargetMode="External"/><Relationship Id="rId32" Type="http://schemas.openxmlformats.org/officeDocument/2006/relationships/hyperlink" Target="https://ieeexplore.ieee.org/servlet/opac?punumber=10347229" TargetMode="External"/><Relationship Id="rId53" Type="http://schemas.openxmlformats.org/officeDocument/2006/relationships/hyperlink" Target="https://ieeexplore.ieee.org/servlet/opac?punumber=57" TargetMode="External"/><Relationship Id="rId74" Type="http://schemas.openxmlformats.org/officeDocument/2006/relationships/hyperlink" Target="https://ieeexplore.ieee.org/servlet/opac?punumber=7433271" TargetMode="External"/><Relationship Id="rId128" Type="http://schemas.openxmlformats.org/officeDocument/2006/relationships/hyperlink" Target="https://ieeexplore.ieee.org/servlet/opac?punumber=7274989" TargetMode="External"/><Relationship Id="rId149" Type="http://schemas.openxmlformats.org/officeDocument/2006/relationships/hyperlink" Target="https://ieeexplore.ieee.org/servlet/opac?punumber=60" TargetMode="External"/><Relationship Id="rId5" Type="http://schemas.openxmlformats.org/officeDocument/2006/relationships/hyperlink" Target="https://ieeexplore.ieee.org/servlet/opac?punumber=9171629" TargetMode="External"/><Relationship Id="rId95" Type="http://schemas.openxmlformats.org/officeDocument/2006/relationships/hyperlink" Target="https://ieeexplore.ieee.org/servlet/opac?punumber=4664312" TargetMode="External"/><Relationship Id="rId160" Type="http://schemas.openxmlformats.org/officeDocument/2006/relationships/hyperlink" Target="https://ieeexplore.ieee.org/servlet/opac?punumber=83" TargetMode="External"/><Relationship Id="rId181" Type="http://schemas.openxmlformats.org/officeDocument/2006/relationships/hyperlink" Target="https://ieeexplore.ieee.org/servlet/opac?punumber=7729" TargetMode="External"/><Relationship Id="rId216" Type="http://schemas.openxmlformats.org/officeDocument/2006/relationships/hyperlink" Target="https://ieeexplore.ieee.org/servlet/opac?punumber=2945" TargetMode="External"/><Relationship Id="rId237" Type="http://schemas.openxmlformats.org/officeDocument/2006/relationships/hyperlink" Target="https://ieeexplore.ieee.org/servlet/opac?punumber=9907" TargetMode="External"/><Relationship Id="rId22" Type="http://schemas.openxmlformats.org/officeDocument/2006/relationships/hyperlink" Target="https://ieeexplore.ieee.org/servlet/opac?punumber=8782710" TargetMode="External"/><Relationship Id="rId43" Type="http://schemas.openxmlformats.org/officeDocument/2006/relationships/hyperlink" Target="https://ieeexplore.ieee.org/servlet/opac?punumber=9393008" TargetMode="External"/><Relationship Id="rId64" Type="http://schemas.openxmlformats.org/officeDocument/2006/relationships/hyperlink" Target="https://ieeexplore.ieee.org/servlet/opac?punumber=4236" TargetMode="External"/><Relationship Id="rId118" Type="http://schemas.openxmlformats.org/officeDocument/2006/relationships/hyperlink" Target="https://ieeexplore.ieee.org/servlet/opac?punumber=6687317" TargetMode="External"/><Relationship Id="rId139" Type="http://schemas.openxmlformats.org/officeDocument/2006/relationships/hyperlink" Target="https://ieeexplore.ieee.org/servlet/opac?punumber=87" TargetMode="External"/><Relationship Id="rId85" Type="http://schemas.openxmlformats.org/officeDocument/2006/relationships/hyperlink" Target="https://ieeexplore.ieee.org/servlet/opac?punumber=8566057" TargetMode="External"/><Relationship Id="rId150" Type="http://schemas.openxmlformats.org/officeDocument/2006/relationships/hyperlink" Target="https://ieeexplore.ieee.org/servlet/opac?punumber=9794458" TargetMode="External"/><Relationship Id="rId171" Type="http://schemas.openxmlformats.org/officeDocument/2006/relationships/hyperlink" Target="https://ieeexplore.ieee.org/servlet/opac?punumber=4620076" TargetMode="External"/><Relationship Id="rId192" Type="http://schemas.openxmlformats.org/officeDocument/2006/relationships/hyperlink" Target="https://ieeexplore.ieee.org/servlet/opac?punumber=59" TargetMode="External"/><Relationship Id="rId206" Type="http://schemas.openxmlformats.org/officeDocument/2006/relationships/hyperlink" Target="https://ieeexplore.ieee.org/servlet/opac?punumber=32" TargetMode="External"/><Relationship Id="rId227" Type="http://schemas.openxmlformats.org/officeDocument/2006/relationships/hyperlink" Target="https://ieeexplore.ieee.org/servlet/opac?punumber=62" TargetMode="External"/><Relationship Id="rId248" Type="http://schemas.openxmlformats.org/officeDocument/2006/relationships/hyperlink" Target="https://ieeexplore.ieee.org/servlet/opac?punumber=4509581" TargetMode="External"/><Relationship Id="rId12" Type="http://schemas.openxmlformats.org/officeDocument/2006/relationships/hyperlink" Target="https://ieeexplore.ieee.org/servlet/opac?punumber=8784343" TargetMode="External"/><Relationship Id="rId33" Type="http://schemas.openxmlformats.org/officeDocument/2006/relationships/hyperlink" Target="https://ieeexplore.ieee.org/servlet/opac?punumber=10167709" TargetMode="External"/><Relationship Id="rId108" Type="http://schemas.openxmlformats.org/officeDocument/2006/relationships/hyperlink" Target="https://ieeexplore.ieee.org/servlet/opac?punumber=4267003" TargetMode="External"/><Relationship Id="rId129" Type="http://schemas.openxmlformats.org/officeDocument/2006/relationships/hyperlink" Target="https://ieeexplore.ieee.org/servlet/opac?punumber=6687307" TargetMode="External"/><Relationship Id="rId54" Type="http://schemas.openxmlformats.org/officeDocument/2006/relationships/hyperlink" Target="https://ieeexplore.ieee.org/servlet/opac?punumber=55" TargetMode="External"/><Relationship Id="rId75" Type="http://schemas.openxmlformats.org/officeDocument/2006/relationships/hyperlink" Target="https://ieeexplore.ieee.org/servlet/opac?punumber=2944" TargetMode="External"/><Relationship Id="rId96" Type="http://schemas.openxmlformats.org/officeDocument/2006/relationships/hyperlink" Target="https://ieeexplore.ieee.org/servlet/opac?punumber=6245520" TargetMode="External"/><Relationship Id="rId140" Type="http://schemas.openxmlformats.org/officeDocument/2006/relationships/hyperlink" Target="https://ieeexplore.ieee.org/servlet/opac?punumber=6221036" TargetMode="External"/><Relationship Id="rId161" Type="http://schemas.openxmlformats.org/officeDocument/2006/relationships/hyperlink" Target="https://ieeexplore.ieee.org/servlet/opac?punumber=9984155" TargetMode="External"/><Relationship Id="rId182" Type="http://schemas.openxmlformats.org/officeDocument/2006/relationships/hyperlink" Target="https://ieeexplore.ieee.org/servlet/opac?punumber=4275028" TargetMode="External"/><Relationship Id="rId217" Type="http://schemas.openxmlformats.org/officeDocument/2006/relationships/hyperlink" Target="https://ieeexplore.ieee.org/servlet/opac?punumber=7693" TargetMode="External"/><Relationship Id="rId6" Type="http://schemas.openxmlformats.org/officeDocument/2006/relationships/hyperlink" Target="https://ieeexplore.ieee.org/servlet/opac?punumber=10057477" TargetMode="External"/><Relationship Id="rId238" Type="http://schemas.openxmlformats.org/officeDocument/2006/relationships/hyperlink" Target="https://ieeexplore.ieee.org/servlet/opac?punumber=6668" TargetMode="External"/><Relationship Id="rId23" Type="http://schemas.openxmlformats.org/officeDocument/2006/relationships/hyperlink" Target="https://ieeexplore.ieee.org/servlet/opac?punumber=9745883" TargetMode="External"/><Relationship Id="rId119" Type="http://schemas.openxmlformats.org/officeDocument/2006/relationships/hyperlink" Target="https://ieeexplore.ieee.org/servlet/opac?punumber=4156126" TargetMode="External"/><Relationship Id="rId44" Type="http://schemas.openxmlformats.org/officeDocument/2006/relationships/hyperlink" Target="https://ieeexplore.ieee.org/servlet/opac?punumber=9349829" TargetMode="External"/><Relationship Id="rId65" Type="http://schemas.openxmlformats.org/officeDocument/2006/relationships/hyperlink" Target="https://ieeexplore.ieee.org/servlet/opac?punumber=6488907" TargetMode="External"/><Relationship Id="rId86" Type="http://schemas.openxmlformats.org/officeDocument/2006/relationships/hyperlink" Target="https://ieeexplore.ieee.org/servlet/opac?punumber=5165412" TargetMode="External"/><Relationship Id="rId130" Type="http://schemas.openxmlformats.org/officeDocument/2006/relationships/hyperlink" Target="https://ieeexplore.ieee.org/servlet/opac?punumber=26" TargetMode="External"/><Relationship Id="rId151" Type="http://schemas.openxmlformats.org/officeDocument/2006/relationships/hyperlink" Target="https://ieeexplore.ieee.org/servlet/opac?punumber=17" TargetMode="External"/><Relationship Id="rId172" Type="http://schemas.openxmlformats.org/officeDocument/2006/relationships/hyperlink" Target="https://ieeexplore.ieee.org/servlet/opac?punumber=20" TargetMode="External"/><Relationship Id="rId193" Type="http://schemas.openxmlformats.org/officeDocument/2006/relationships/hyperlink" Target="https://ieeexplore.ieee.org/servlet/opac?punumber=47" TargetMode="External"/><Relationship Id="rId207" Type="http://schemas.openxmlformats.org/officeDocument/2006/relationships/hyperlink" Target="https://ieeexplore.ieee.org/servlet/opac?punumber=7274860" TargetMode="External"/><Relationship Id="rId228" Type="http://schemas.openxmlformats.org/officeDocument/2006/relationships/hyperlink" Target="https://ieeexplore.ieee.org/servlet/opac?punumber=7384" TargetMode="External"/><Relationship Id="rId249" Type="http://schemas.openxmlformats.org/officeDocument/2006/relationships/printerSettings" Target="../printerSettings/printerSettings1.bin"/><Relationship Id="rId13" Type="http://schemas.openxmlformats.org/officeDocument/2006/relationships/hyperlink" Target="https://ieeexplore.ieee.org/servlet/opac?punumber=8566058" TargetMode="External"/><Relationship Id="rId109" Type="http://schemas.openxmlformats.org/officeDocument/2006/relationships/hyperlink" Target="https://ieeexplore.ieee.org/servlet/opac?punumber=7" TargetMode="External"/><Relationship Id="rId34" Type="http://schemas.openxmlformats.org/officeDocument/2006/relationships/hyperlink" Target="https://ieeexplore.ieee.org/servlet/opac?punumber=9882533" TargetMode="External"/><Relationship Id="rId55" Type="http://schemas.openxmlformats.org/officeDocument/2006/relationships/hyperlink" Target="https://ieeexplore.ieee.org/servlet/opac?punumber=10035030" TargetMode="External"/><Relationship Id="rId76" Type="http://schemas.openxmlformats.org/officeDocument/2006/relationships/hyperlink" Target="https://ieeexplore.ieee.org/servlet/opac?punumber=4200690" TargetMode="External"/><Relationship Id="rId97" Type="http://schemas.openxmlformats.org/officeDocument/2006/relationships/hyperlink" Target="https://ieeexplore.ieee.org/servlet/opac?punumber=100" TargetMode="External"/><Relationship Id="rId120" Type="http://schemas.openxmlformats.org/officeDocument/2006/relationships/hyperlink" Target="https://ieeexplore.ieee.org/servlet/opac?punumber=10" TargetMode="External"/><Relationship Id="rId141" Type="http://schemas.openxmlformats.org/officeDocument/2006/relationships/hyperlink" Target="https://ieeexplore.ieee.org/servlet/opac?punumber=8858" TargetMode="External"/><Relationship Id="rId7" Type="http://schemas.openxmlformats.org/officeDocument/2006/relationships/hyperlink" Target="https://ieeexplore.ieee.org/servlet/opac?punumber=4609443" TargetMode="External"/><Relationship Id="rId162" Type="http://schemas.openxmlformats.org/officeDocument/2006/relationships/hyperlink" Target="https://ieeexplore.ieee.org/servlet/opac?punumber=41" TargetMode="External"/><Relationship Id="rId183" Type="http://schemas.openxmlformats.org/officeDocument/2006/relationships/hyperlink" Target="https://ieeexplore.ieee.org/servlet/opac?punumber=6488902" TargetMode="External"/><Relationship Id="rId218" Type="http://schemas.openxmlformats.org/officeDocument/2006/relationships/hyperlink" Target="https://ieeexplore.ieee.org/servlet/opac?punumber=10209" TargetMode="External"/><Relationship Id="rId239" Type="http://schemas.openxmlformats.org/officeDocument/2006/relationships/hyperlink" Target="https://ieeexplore.ieee.org/servlet/opac?punumber=4451717" TargetMode="External"/><Relationship Id="rId24" Type="http://schemas.openxmlformats.org/officeDocument/2006/relationships/hyperlink" Target="https://ieeexplore.ieee.org/servlet/opac?punumber=8782661" TargetMode="External"/><Relationship Id="rId45" Type="http://schemas.openxmlformats.org/officeDocument/2006/relationships/hyperlink" Target="https://ieeexplore.ieee.org/servlet/opac?punumber=4234" TargetMode="External"/><Relationship Id="rId66" Type="http://schemas.openxmlformats.org/officeDocument/2006/relationships/hyperlink" Target="https://ieeexplore.ieee.org/servlet/opac?punumber=8548628" TargetMode="External"/><Relationship Id="rId87" Type="http://schemas.openxmlformats.org/officeDocument/2006/relationships/hyperlink" Target="https://ieeexplore.ieee.org/servlet/opac?punumber=40" TargetMode="External"/><Relationship Id="rId110" Type="http://schemas.openxmlformats.org/officeDocument/2006/relationships/hyperlink" Target="https://ieeexplore.ieee.org/servlet/opac?punumber=5165369" TargetMode="External"/><Relationship Id="rId131" Type="http://schemas.openxmlformats.org/officeDocument/2006/relationships/hyperlink" Target="https://ieeexplore.ieee.org/servlet/opac?punumber=5503870" TargetMode="External"/><Relationship Id="rId152" Type="http://schemas.openxmlformats.org/officeDocument/2006/relationships/hyperlink" Target="https://ieeexplore.ieee.org/servlet/opac?punumber=4235" TargetMode="External"/><Relationship Id="rId173" Type="http://schemas.openxmlformats.org/officeDocument/2006/relationships/hyperlink" Target="https://ieeexplore.ieee.org/servlet/opac?punumber=10167711" TargetMode="External"/><Relationship Id="rId194" Type="http://schemas.openxmlformats.org/officeDocument/2006/relationships/hyperlink" Target="https://ieeexplore.ieee.org/servlet/opac?punumber=9931145" TargetMode="External"/><Relationship Id="rId208" Type="http://schemas.openxmlformats.org/officeDocument/2006/relationships/hyperlink" Target="https://ieeexplore.ieee.org/servlet/opac?punumber=5165391" TargetMode="External"/><Relationship Id="rId229" Type="http://schemas.openxmlformats.org/officeDocument/2006/relationships/hyperlink" Target="https://ieeexplore.ieee.org/servlet/opac?punumber=10207" TargetMode="External"/><Relationship Id="rId240" Type="http://schemas.openxmlformats.org/officeDocument/2006/relationships/hyperlink" Target="https://ieeexplore.ieee.org/servlet/opac?punumber=45" TargetMode="External"/><Relationship Id="rId14" Type="http://schemas.openxmlformats.org/officeDocument/2006/relationships/hyperlink" Target="https://ieeexplore.ieee.org/servlet/opac?punumber=8784029" TargetMode="External"/><Relationship Id="rId35" Type="http://schemas.openxmlformats.org/officeDocument/2006/relationships/hyperlink" Target="https://ieeexplore.ieee.org/servlet/opac?punumber=7333" TargetMode="External"/><Relationship Id="rId56" Type="http://schemas.openxmlformats.org/officeDocument/2006/relationships/hyperlink" Target="https://ieeexplore.ieee.org/servlet/opac?punumber=10347230" TargetMode="External"/><Relationship Id="rId77" Type="http://schemas.openxmlformats.org/officeDocument/2006/relationships/hyperlink" Target="https://ieeexplore.ieee.org/servlet/opac?punumber=4" TargetMode="External"/><Relationship Id="rId100" Type="http://schemas.openxmlformats.org/officeDocument/2006/relationships/hyperlink" Target="https://ieeexplore.ieee.org/servlet/opac?punumber=8013" TargetMode="External"/><Relationship Id="rId8" Type="http://schemas.openxmlformats.org/officeDocument/2006/relationships/hyperlink" Target="https://ieeexplore.ieee.org/servlet/opac?punumber=10918858" TargetMode="External"/><Relationship Id="rId98" Type="http://schemas.openxmlformats.org/officeDocument/2006/relationships/hyperlink" Target="https://ieeexplore.ieee.org/servlet/opac?punumber=7083369" TargetMode="External"/><Relationship Id="rId121" Type="http://schemas.openxmlformats.org/officeDocument/2006/relationships/hyperlink" Target="https://ieeexplore.ieee.org/servlet/opac?punumber=8423754" TargetMode="External"/><Relationship Id="rId142" Type="http://schemas.openxmlformats.org/officeDocument/2006/relationships/hyperlink" Target="https://ieeexplore.ieee.org/servlet/opac?punumber=7298" TargetMode="External"/><Relationship Id="rId163" Type="http://schemas.openxmlformats.org/officeDocument/2006/relationships/hyperlink" Target="https://ieeexplore.ieee.org/servlet/opac?punumber=9424" TargetMode="External"/><Relationship Id="rId184" Type="http://schemas.openxmlformats.org/officeDocument/2006/relationships/hyperlink" Target="https://ieeexplore.ieee.org/servlet/opac?punumber=10723154" TargetMode="External"/><Relationship Id="rId219" Type="http://schemas.openxmlformats.org/officeDocument/2006/relationships/hyperlink" Target="https://ieeexplore.ieee.org/servlet/opac?punumber=7742" TargetMode="External"/><Relationship Id="rId230" Type="http://schemas.openxmlformats.org/officeDocument/2006/relationships/hyperlink" Target="https://ieeexplore.ieee.org/servlet/opac?punumber=5962380" TargetMode="External"/><Relationship Id="rId25" Type="http://schemas.openxmlformats.org/officeDocument/2006/relationships/hyperlink" Target="https://ieeexplore.ieee.org/servlet/opac?punumber=8782664" TargetMode="External"/><Relationship Id="rId46" Type="http://schemas.openxmlformats.org/officeDocument/2006/relationships/hyperlink" Target="https://ieeexplore.ieee.org/servlet/opac?punumber=35" TargetMode="External"/><Relationship Id="rId67" Type="http://schemas.openxmlformats.org/officeDocument/2006/relationships/hyperlink" Target="https://ieeexplore.ieee.org/servlet/opac?punumber=6221020" TargetMode="External"/><Relationship Id="rId88" Type="http://schemas.openxmlformats.org/officeDocument/2006/relationships/hyperlink" Target="https://ieeexplore.ieee.org/servlet/opac?punumber=9944983" TargetMode="External"/><Relationship Id="rId111" Type="http://schemas.openxmlformats.org/officeDocument/2006/relationships/hyperlink" Target="https://ieeexplore.ieee.org/servlet/opac?punumber=9787768" TargetMode="External"/><Relationship Id="rId132" Type="http://schemas.openxmlformats.org/officeDocument/2006/relationships/hyperlink" Target="https://ieeexplore.ieee.org/servlet/opac?punumber=10723156" TargetMode="External"/><Relationship Id="rId153" Type="http://schemas.openxmlformats.org/officeDocument/2006/relationships/hyperlink" Target="https://ieeexplore.ieee.org/servlet/opac?punumber=10495159" TargetMode="External"/><Relationship Id="rId174" Type="http://schemas.openxmlformats.org/officeDocument/2006/relationships/hyperlink" Target="https://ieeexplore.ieee.org/servlet/opac?punumber=42" TargetMode="External"/><Relationship Id="rId195" Type="http://schemas.openxmlformats.org/officeDocument/2006/relationships/hyperlink" Target="https://ieeexplore.ieee.org/servlet/opac?punumber=7433213" TargetMode="External"/><Relationship Id="rId209" Type="http://schemas.openxmlformats.org/officeDocument/2006/relationships/hyperlink" Target="https://ieeexplore.ieee.org/servlet/opac?punumber=6221021" TargetMode="External"/><Relationship Id="rId220" Type="http://schemas.openxmlformats.org/officeDocument/2006/relationships/hyperlink" Target="https://ieeexplore.ieee.org/servlet/opac?punumber=5962382" TargetMode="External"/><Relationship Id="rId241" Type="http://schemas.openxmlformats.org/officeDocument/2006/relationships/hyperlink" Target="https://ieeexplore.ieee.org/servlet/opac?punumber=8014" TargetMode="External"/><Relationship Id="rId15" Type="http://schemas.openxmlformats.org/officeDocument/2006/relationships/hyperlink" Target="https://ieeexplore.ieee.org/servlet/opac?punumber=9552933" TargetMode="External"/><Relationship Id="rId36" Type="http://schemas.openxmlformats.org/officeDocument/2006/relationships/hyperlink" Target="https://ieeexplore.ieee.org/servlet/opac?punumber=10167710" TargetMode="External"/><Relationship Id="rId57" Type="http://schemas.openxmlformats.org/officeDocument/2006/relationships/hyperlink" Target="https://ieeexplore.ieee.org/servlet/opac?punumber=4563995" TargetMode="External"/><Relationship Id="rId78" Type="http://schemas.openxmlformats.org/officeDocument/2006/relationships/hyperlink" Target="https://ieeexplore.ieee.org/servlet/opac?punumber=5503868" TargetMode="External"/><Relationship Id="rId99" Type="http://schemas.openxmlformats.org/officeDocument/2006/relationships/hyperlink" Target="https://ieeexplore.ieee.org/servlet/opac?punumber=10347232" TargetMode="External"/><Relationship Id="rId101" Type="http://schemas.openxmlformats.org/officeDocument/2006/relationships/hyperlink" Target="https://ieeexplore.ieee.org/servlet/opac?punumber=7361" TargetMode="External"/><Relationship Id="rId122" Type="http://schemas.openxmlformats.org/officeDocument/2006/relationships/hyperlink" Target="https://ieeexplore.ieee.org/servlet/opac?punumber=11" TargetMode="External"/><Relationship Id="rId143" Type="http://schemas.openxmlformats.org/officeDocument/2006/relationships/hyperlink" Target="https://ieeexplore.ieee.org/servlet/opac?punumber=94" TargetMode="External"/><Relationship Id="rId164" Type="http://schemas.openxmlformats.org/officeDocument/2006/relationships/hyperlink" Target="https://ieeexplore.ieee.org/servlet/opac?punumber=28" TargetMode="External"/><Relationship Id="rId185" Type="http://schemas.openxmlformats.org/officeDocument/2006/relationships/hyperlink" Target="https://ieeexplore.ieee.org/servlet/opac?punumber=5962385" TargetMode="External"/><Relationship Id="rId4" Type="http://schemas.openxmlformats.org/officeDocument/2006/relationships/hyperlink" Target="https://ieeexplore.ieee.org/servlet/opac?punumber=9955032" TargetMode="External"/><Relationship Id="rId9" Type="http://schemas.openxmlformats.org/officeDocument/2006/relationships/hyperlink" Target="https://ieeexplore.ieee.org/servlet/opac?punumber=6245494" TargetMode="External"/><Relationship Id="rId180" Type="http://schemas.openxmlformats.org/officeDocument/2006/relationships/hyperlink" Target="https://ieeexplore.ieee.org/servlet/opac?punumber=7728" TargetMode="External"/><Relationship Id="rId210" Type="http://schemas.openxmlformats.org/officeDocument/2006/relationships/hyperlink" Target="https://ieeexplore.ieee.org/servlet/opac?punumber=8566059" TargetMode="External"/><Relationship Id="rId215" Type="http://schemas.openxmlformats.org/officeDocument/2006/relationships/hyperlink" Target="https://ieeexplore.ieee.org/servlet/opac?punumber=92" TargetMode="External"/><Relationship Id="rId236" Type="http://schemas.openxmlformats.org/officeDocument/2006/relationships/hyperlink" Target="https://ieeexplore.ieee.org/servlet/opac?punumber=5117645" TargetMode="External"/><Relationship Id="rId26" Type="http://schemas.openxmlformats.org/officeDocument/2006/relationships/hyperlink" Target="https://ieeexplore.ieee.org/servlet/opac?punumber=8782706" TargetMode="External"/><Relationship Id="rId231" Type="http://schemas.openxmlformats.org/officeDocument/2006/relationships/hyperlink" Target="https://ieeexplore.ieee.org/servlet/opac?punumber=5488303" TargetMode="External"/><Relationship Id="rId47" Type="http://schemas.openxmlformats.org/officeDocument/2006/relationships/hyperlink" Target="https://ieeexplore.ieee.org/servlet/opac?punumber=7886829" TargetMode="External"/><Relationship Id="rId68" Type="http://schemas.openxmlformats.org/officeDocument/2006/relationships/hyperlink" Target="https://ieeexplore.ieee.org/servlet/opac?punumber=7397573" TargetMode="External"/><Relationship Id="rId89" Type="http://schemas.openxmlformats.org/officeDocument/2006/relationships/hyperlink" Target="https://ieeexplore.ieee.org/servlet/opac?punumber=93" TargetMode="External"/><Relationship Id="rId112" Type="http://schemas.openxmlformats.org/officeDocument/2006/relationships/hyperlink" Target="https://ieeexplore.ieee.org/servlet/opac?punumber=8" TargetMode="External"/><Relationship Id="rId133" Type="http://schemas.openxmlformats.org/officeDocument/2006/relationships/hyperlink" Target="https://ieeexplore.ieee.org/servlet/opac?punumber=6745852" TargetMode="External"/><Relationship Id="rId154" Type="http://schemas.openxmlformats.org/officeDocument/2006/relationships/hyperlink" Target="https://ieeexplore.ieee.org/servlet/opac?punumber=91" TargetMode="External"/><Relationship Id="rId175" Type="http://schemas.openxmlformats.org/officeDocument/2006/relationships/hyperlink" Target="https://ieeexplore.ieee.org/servlet/opac?punumber=8253409" TargetMode="External"/><Relationship Id="rId196" Type="http://schemas.openxmlformats.org/officeDocument/2006/relationships/hyperlink" Target="https://ieeexplore.ieee.org/servlet/opac?punumber=24" TargetMode="External"/><Relationship Id="rId200" Type="http://schemas.openxmlformats.org/officeDocument/2006/relationships/hyperlink" Target="https://ieeexplore.ieee.org/servlet/opac?punumber=4629386" TargetMode="External"/><Relationship Id="rId16" Type="http://schemas.openxmlformats.org/officeDocument/2006/relationships/hyperlink" Target="https://ieeexplore.ieee.org/servlet/opac?punumber=8782705" TargetMode="External"/><Relationship Id="rId221" Type="http://schemas.openxmlformats.org/officeDocument/2006/relationships/hyperlink" Target="https://ieeexplore.ieee.org/servlet/opac?punumber=6570654" TargetMode="External"/><Relationship Id="rId242" Type="http://schemas.openxmlformats.org/officeDocument/2006/relationships/hyperlink" Target="https://ieeexplore.ieee.org/servlet/opac?punumber=6570649" TargetMode="External"/><Relationship Id="rId37" Type="http://schemas.openxmlformats.org/officeDocument/2006/relationships/hyperlink" Target="https://ieeexplore.ieee.org/servlet/opac?punumber=8924785" TargetMode="External"/><Relationship Id="rId58" Type="http://schemas.openxmlformats.org/officeDocument/2006/relationships/hyperlink" Target="https://ieeexplore.ieee.org/servlet/opac?punumber=46" TargetMode="External"/><Relationship Id="rId79" Type="http://schemas.openxmlformats.org/officeDocument/2006/relationships/hyperlink" Target="https://ieeexplore.ieee.org/servlet/opac?punumber=9552934" TargetMode="External"/><Relationship Id="rId102" Type="http://schemas.openxmlformats.org/officeDocument/2006/relationships/hyperlink" Target="https://ieeexplore.ieee.org/servlet/opac?punumber=7782634" TargetMode="External"/><Relationship Id="rId123" Type="http://schemas.openxmlformats.org/officeDocument/2006/relationships/hyperlink" Target="https://ieeexplore.ieee.org/servlet/opac?punumber=10495160" TargetMode="External"/><Relationship Id="rId144" Type="http://schemas.openxmlformats.org/officeDocument/2006/relationships/hyperlink" Target="https://ieeexplore.ieee.org/servlet/opac?punumber=13" TargetMode="External"/><Relationship Id="rId90" Type="http://schemas.openxmlformats.org/officeDocument/2006/relationships/hyperlink" Target="https://ieeexplore.ieee.org/servlet/opac?punumber=65" TargetMode="External"/><Relationship Id="rId165" Type="http://schemas.openxmlformats.org/officeDocument/2006/relationships/hyperlink" Target="https://ieeexplore.ieee.org/servlet/opac?punumber=10206" TargetMode="External"/><Relationship Id="rId186" Type="http://schemas.openxmlformats.org/officeDocument/2006/relationships/hyperlink" Target="https://ieeexplore.ieee.org/servlet/opac?punumber=23" TargetMode="External"/><Relationship Id="rId211" Type="http://schemas.openxmlformats.org/officeDocument/2006/relationships/hyperlink" Target="https://ieeexplore.ieee.org/servlet/opac?punumber=5503871" TargetMode="External"/><Relationship Id="rId232" Type="http://schemas.openxmlformats.org/officeDocument/2006/relationships/hyperlink" Target="https://ieeexplore.ieee.org/servlet/opac?punumber=6221038" TargetMode="External"/><Relationship Id="rId27" Type="http://schemas.openxmlformats.org/officeDocument/2006/relationships/hyperlink" Target="https://ieeexplore.ieee.org/servlet/opac?punumber=8782712" TargetMode="External"/><Relationship Id="rId48" Type="http://schemas.openxmlformats.org/officeDocument/2006/relationships/hyperlink" Target="https://ieeexplore.ieee.org/servlet/opac?punumber=9739" TargetMode="External"/><Relationship Id="rId69" Type="http://schemas.openxmlformats.org/officeDocument/2006/relationships/hyperlink" Target="https://ieeexplore.ieee.org/servlet/opac?punumber=8847244" TargetMode="External"/><Relationship Id="rId113" Type="http://schemas.openxmlformats.org/officeDocument/2006/relationships/hyperlink" Target="https://ieeexplore.ieee.org/servlet/opac?punumber=77" TargetMode="External"/><Relationship Id="rId134" Type="http://schemas.openxmlformats.org/officeDocument/2006/relationships/hyperlink" Target="https://ieeexplore.ieee.org/servlet/opac?punumber=6570650" TargetMode="External"/><Relationship Id="rId80" Type="http://schemas.openxmlformats.org/officeDocument/2006/relationships/hyperlink" Target="https://ieeexplore.ieee.org/servlet/opac?punumber=8253411" TargetMode="External"/><Relationship Id="rId155" Type="http://schemas.openxmlformats.org/officeDocument/2006/relationships/hyperlink" Target="https://ieeexplore.ieee.org/servlet/opac?punumber=7782673" TargetMode="External"/><Relationship Id="rId176" Type="http://schemas.openxmlformats.org/officeDocument/2006/relationships/hyperlink" Target="https://ieeexplore.ieee.org/servlet/opac?punumber=22" TargetMode="External"/><Relationship Id="rId197" Type="http://schemas.openxmlformats.org/officeDocument/2006/relationships/hyperlink" Target="https://ieeexplore.ieee.org/servlet/opac?punumber=11359445" TargetMode="External"/><Relationship Id="rId201" Type="http://schemas.openxmlformats.org/officeDocument/2006/relationships/hyperlink" Target="https://ieeexplore.ieee.org/servlet/opac?punumber=6884276" TargetMode="External"/><Relationship Id="rId222" Type="http://schemas.openxmlformats.org/officeDocument/2006/relationships/hyperlink" Target="https://ieeexplore.ieee.org/servlet/opac?punumber=3516" TargetMode="External"/><Relationship Id="rId243" Type="http://schemas.openxmlformats.org/officeDocument/2006/relationships/hyperlink" Target="https://ieeexplore.ieee.org/servlet/opac?punumber=5454060" TargetMode="External"/><Relationship Id="rId17" Type="http://schemas.openxmlformats.org/officeDocument/2006/relationships/hyperlink" Target="https://ieeexplore.ieee.org/servlet/opac?punumber=8782707" TargetMode="External"/><Relationship Id="rId38" Type="http://schemas.openxmlformats.org/officeDocument/2006/relationships/hyperlink" Target="https://ieeexplore.ieee.org/servlet/opac?punumber=2" TargetMode="External"/><Relationship Id="rId59" Type="http://schemas.openxmlformats.org/officeDocument/2006/relationships/hyperlink" Target="https://ieeexplore.ieee.org/servlet/opac?punumber=8859" TargetMode="External"/><Relationship Id="rId103" Type="http://schemas.openxmlformats.org/officeDocument/2006/relationships/hyperlink" Target="https://ieeexplore.ieee.org/servlet/opac?punumber=11059289" TargetMode="External"/><Relationship Id="rId124" Type="http://schemas.openxmlformats.org/officeDocument/2006/relationships/hyperlink" Target="https://ieeexplore.ieee.org/servlet/opac?punumber=76" TargetMode="External"/><Relationship Id="rId70" Type="http://schemas.openxmlformats.org/officeDocument/2006/relationships/hyperlink" Target="https://ieeexplore.ieee.org/servlet/opac?punumber=6245517" TargetMode="External"/><Relationship Id="rId91" Type="http://schemas.openxmlformats.org/officeDocument/2006/relationships/hyperlink" Target="https://ieeexplore.ieee.org/servlet/opac?punumber=8253410" TargetMode="External"/><Relationship Id="rId145" Type="http://schemas.openxmlformats.org/officeDocument/2006/relationships/hyperlink" Target="https://ieeexplore.ieee.org/servlet/opac?punumber=15" TargetMode="External"/><Relationship Id="rId166" Type="http://schemas.openxmlformats.org/officeDocument/2006/relationships/hyperlink" Target="https://ieeexplore.ieee.org/servlet/opac?punumber=18" TargetMode="External"/><Relationship Id="rId187" Type="http://schemas.openxmlformats.org/officeDocument/2006/relationships/hyperlink" Target="https://ieeexplore.ieee.org/servlet/opac?punumber=71" TargetMode="External"/><Relationship Id="rId1" Type="http://schemas.openxmlformats.org/officeDocument/2006/relationships/hyperlink" Target="http://sl.no/" TargetMode="External"/><Relationship Id="rId212" Type="http://schemas.openxmlformats.org/officeDocument/2006/relationships/hyperlink" Target="https://ieeexplore.ieee.org/servlet/opac?punumber=6687316" TargetMode="External"/><Relationship Id="rId233" Type="http://schemas.openxmlformats.org/officeDocument/2006/relationships/hyperlink" Target="https://ieeexplore.ieee.org/servlet/opac?punumber=6508996" TargetMode="External"/><Relationship Id="rId28" Type="http://schemas.openxmlformats.org/officeDocument/2006/relationships/hyperlink" Target="https://ieeexplore.ieee.org/servlet/opac?punumber=9292640" TargetMode="External"/><Relationship Id="rId49" Type="http://schemas.openxmlformats.org/officeDocument/2006/relationships/hyperlink" Target="https://ieeexplore.ieee.org/servlet/opac?punumber=11359446" TargetMode="External"/><Relationship Id="rId114" Type="http://schemas.openxmlformats.org/officeDocument/2006/relationships/hyperlink" Target="https://ieeexplore.ieee.org/servlet/opac?punumber=9078688" TargetMode="External"/><Relationship Id="rId60" Type="http://schemas.openxmlformats.org/officeDocument/2006/relationships/hyperlink" Target="https://ieeexplore.ieee.org/servlet/opac?punumber=6245518" TargetMode="External"/><Relationship Id="rId81" Type="http://schemas.openxmlformats.org/officeDocument/2006/relationships/hyperlink" Target="https://ieeexplore.ieee.org/servlet/opac?punumber=7274859" TargetMode="External"/><Relationship Id="rId135" Type="http://schemas.openxmlformats.org/officeDocument/2006/relationships/hyperlink" Target="https://ieeexplore.ieee.org/servlet/opac?punumber=43" TargetMode="External"/><Relationship Id="rId156" Type="http://schemas.openxmlformats.org/officeDocument/2006/relationships/hyperlink" Target="https://ieeexplore.ieee.org/servlet/opac?punumber=36" TargetMode="External"/><Relationship Id="rId177" Type="http://schemas.openxmlformats.org/officeDocument/2006/relationships/hyperlink" Target="https://ieeexplore.ieee.org/servlet/opac?punumber=7755" TargetMode="External"/><Relationship Id="rId198" Type="http://schemas.openxmlformats.org/officeDocument/2006/relationships/hyperlink" Target="https://ieeexplore.ieee.org/servlet/opac?punumber=8860" TargetMode="External"/><Relationship Id="rId202" Type="http://schemas.openxmlformats.org/officeDocument/2006/relationships/hyperlink" Target="https://ieeexplore.ieee.org/servlet/opac?punumber=9745882" TargetMode="External"/><Relationship Id="rId223" Type="http://schemas.openxmlformats.org/officeDocument/2006/relationships/hyperlink" Target="https://ieeexplore.ieee.org/servlet/opac?punumber=6294" TargetMode="External"/><Relationship Id="rId244" Type="http://schemas.openxmlformats.org/officeDocument/2006/relationships/hyperlink" Target="https://ieeexplore.ieee.org/servlet/opac?punumber=79" TargetMode="External"/><Relationship Id="rId18" Type="http://schemas.openxmlformats.org/officeDocument/2006/relationships/hyperlink" Target="https://ieeexplore.ieee.org/servlet/opac?punumber=9552935" TargetMode="External"/><Relationship Id="rId39" Type="http://schemas.openxmlformats.org/officeDocument/2006/relationships/hyperlink" Target="https://ieeexplore.ieee.org/servlet/opac?punumber=5992" TargetMode="External"/><Relationship Id="rId50" Type="http://schemas.openxmlformats.org/officeDocument/2006/relationships/hyperlink" Target="https://ieeexplore.ieee.org/servlet/opac?punumber=10208" TargetMode="External"/><Relationship Id="rId104" Type="http://schemas.openxmlformats.org/officeDocument/2006/relationships/hyperlink" Target="https://ieeexplore.ieee.org/servlet/opac?punumber=97" TargetMode="External"/><Relationship Id="rId125" Type="http://schemas.openxmlformats.org/officeDocument/2006/relationships/hyperlink" Target="https://ieeexplore.ieee.org/servlet/opac?punumber=8919" TargetMode="External"/><Relationship Id="rId146" Type="http://schemas.openxmlformats.org/officeDocument/2006/relationships/hyperlink" Target="https://ieeexplore.ieee.org/servlet/opac?punumber=16" TargetMode="External"/><Relationship Id="rId167" Type="http://schemas.openxmlformats.org/officeDocument/2006/relationships/hyperlink" Target="https://ieeexplore.ieee.org/servlet/opac?punumber=19" TargetMode="External"/><Relationship Id="rId188" Type="http://schemas.openxmlformats.org/officeDocument/2006/relationships/hyperlink" Target="https://ieeexplore.ieee.org/servlet/opac?punumber=34" TargetMode="External"/><Relationship Id="rId71" Type="http://schemas.openxmlformats.org/officeDocument/2006/relationships/hyperlink" Target="https://ieeexplore.ieee.org/servlet/opac?punumber=48" TargetMode="External"/><Relationship Id="rId92" Type="http://schemas.openxmlformats.org/officeDocument/2006/relationships/hyperlink" Target="https://ieeexplore.ieee.org/servlet/opac?punumber=7756" TargetMode="External"/><Relationship Id="rId213" Type="http://schemas.openxmlformats.org/officeDocument/2006/relationships/hyperlink" Target="https://ieeexplore.ieee.org/servlet/opac?punumber=11073821" TargetMode="External"/><Relationship Id="rId234" Type="http://schemas.openxmlformats.org/officeDocument/2006/relationships/hyperlink" Target="https://ieeexplore.ieee.org/servlet/opac?punumber=10599323" TargetMode="External"/><Relationship Id="rId2" Type="http://schemas.openxmlformats.org/officeDocument/2006/relationships/hyperlink" Target="https://ieeexplore.ieee.org/servlet/opac?punumber=6287639" TargetMode="External"/><Relationship Id="rId29" Type="http://schemas.openxmlformats.org/officeDocument/2006/relationships/hyperlink" Target="https://ieeexplore.ieee.org/servlet/opac?punumber=8782711" TargetMode="External"/><Relationship Id="rId40" Type="http://schemas.openxmlformats.org/officeDocument/2006/relationships/hyperlink" Target="https://ieeexplore.ieee.org/servlet/opac?punumber=85" TargetMode="External"/><Relationship Id="rId115" Type="http://schemas.openxmlformats.org/officeDocument/2006/relationships/hyperlink" Target="https://ieeexplore.ieee.org/servlet/opac?punumber=10723155" TargetMode="External"/><Relationship Id="rId136" Type="http://schemas.openxmlformats.org/officeDocument/2006/relationships/hyperlink" Target="https://ieeexplore.ieee.org/servlet/opac?punumber=12" TargetMode="External"/><Relationship Id="rId157" Type="http://schemas.openxmlformats.org/officeDocument/2006/relationships/hyperlink" Target="https://ieeexplore.ieee.org/servlet/opac?punumber=7511293" TargetMode="External"/><Relationship Id="rId178" Type="http://schemas.openxmlformats.org/officeDocument/2006/relationships/hyperlink" Target="https://ieeexplore.ieee.org/servlet/opac?punumber=6687308" TargetMode="External"/><Relationship Id="rId61" Type="http://schemas.openxmlformats.org/officeDocument/2006/relationships/hyperlink" Target="https://ieeexplore.ieee.org/servlet/opac?punumber=2943" TargetMode="External"/><Relationship Id="rId82" Type="http://schemas.openxmlformats.org/officeDocument/2006/relationships/hyperlink" Target="https://ieeexplore.ieee.org/servlet/opac?punumber=49" TargetMode="External"/><Relationship Id="rId199" Type="http://schemas.openxmlformats.org/officeDocument/2006/relationships/hyperlink" Target="https://ieeexplore.ieee.org/servlet/opac?punumber=66" TargetMode="External"/><Relationship Id="rId203" Type="http://schemas.openxmlformats.org/officeDocument/2006/relationships/hyperlink" Target="https://ieeexplore.ieee.org/servlet/opac?punumber=78" TargetMode="External"/><Relationship Id="rId19" Type="http://schemas.openxmlformats.org/officeDocument/2006/relationships/hyperlink" Target="https://ieeexplore.ieee.org/servlet/opac?punumber=8784355" TargetMode="External"/><Relationship Id="rId224" Type="http://schemas.openxmlformats.org/officeDocument/2006/relationships/hyperlink" Target="https://ieeexplore.ieee.org/servlet/opac?punumber=50" TargetMode="External"/><Relationship Id="rId245" Type="http://schemas.openxmlformats.org/officeDocument/2006/relationships/hyperlink" Target="https://ieeexplore.ieee.org/servlet/opac?punumber=4563670" TargetMode="External"/><Relationship Id="rId30" Type="http://schemas.openxmlformats.org/officeDocument/2006/relationships/hyperlink" Target="https://ieeexplore.ieee.org/servlet/opac?punumber=10053844" TargetMode="External"/><Relationship Id="rId105" Type="http://schemas.openxmlformats.org/officeDocument/2006/relationships/hyperlink" Target="https://ieeexplore.ieee.org/servlet/opac?punumber=52" TargetMode="External"/><Relationship Id="rId126" Type="http://schemas.openxmlformats.org/officeDocument/2006/relationships/hyperlink" Target="https://ieeexplore.ieee.org/servlet/opac?punumber=8920" TargetMode="External"/><Relationship Id="rId147" Type="http://schemas.openxmlformats.org/officeDocument/2006/relationships/hyperlink" Target="https://ieeexplore.ieee.org/servlet/opac?punumber=7433297" TargetMode="External"/><Relationship Id="rId168" Type="http://schemas.openxmlformats.org/officeDocument/2006/relationships/hyperlink" Target="https://ieeexplore.ieee.org/servlet/opac?punumber=6979" TargetMode="External"/><Relationship Id="rId51" Type="http://schemas.openxmlformats.org/officeDocument/2006/relationships/hyperlink" Target="https://ieeexplore.ieee.org/servlet/opac?punumber=38" TargetMode="External"/><Relationship Id="rId72" Type="http://schemas.openxmlformats.org/officeDocument/2006/relationships/hyperlink" Target="https://ieeexplore.ieee.org/servlet/opac?punumber=5503869" TargetMode="External"/><Relationship Id="rId93" Type="http://schemas.openxmlformats.org/officeDocument/2006/relationships/hyperlink" Target="https://ieeexplore.ieee.org/servlet/opac?punumber=68" TargetMode="External"/><Relationship Id="rId189" Type="http://schemas.openxmlformats.org/officeDocument/2006/relationships/hyperlink" Target="https://ieeexplore.ieee.org/servlet/opac?punumber=27" TargetMode="External"/><Relationship Id="rId3" Type="http://schemas.openxmlformats.org/officeDocument/2006/relationships/hyperlink" Target="https://ieeexplore.ieee.org/servlet/opac?punumber=10347231" TargetMode="External"/><Relationship Id="rId214" Type="http://schemas.openxmlformats.org/officeDocument/2006/relationships/hyperlink" Target="https://ieeexplore.ieee.org/servlet/opac?punumber=25" TargetMode="External"/><Relationship Id="rId235" Type="http://schemas.openxmlformats.org/officeDocument/2006/relationships/hyperlink" Target="https://ieeexplore.ieee.org/servlet/opac?punumber=4154573" TargetMode="External"/><Relationship Id="rId116" Type="http://schemas.openxmlformats.org/officeDocument/2006/relationships/hyperlink" Target="https://ieeexplore.ieee.org/servlet/opac?punumber=9" TargetMode="External"/><Relationship Id="rId137" Type="http://schemas.openxmlformats.org/officeDocument/2006/relationships/hyperlink" Target="https://ieeexplore.ieee.org/servlet/opac?punumber=30" TargetMode="External"/><Relationship Id="rId158" Type="http://schemas.openxmlformats.org/officeDocument/2006/relationships/hyperlink" Target="https://ieeexplore.ieee.org/servlet/opac?punumber=4543165" TargetMode="External"/><Relationship Id="rId20" Type="http://schemas.openxmlformats.org/officeDocument/2006/relationships/hyperlink" Target="https://ieeexplore.ieee.org/servlet/opac?punumber=8782713" TargetMode="External"/><Relationship Id="rId41" Type="http://schemas.openxmlformats.org/officeDocument/2006/relationships/hyperlink" Target="https://ieeexplore.ieee.org/servlet/opac?punumber=74" TargetMode="External"/><Relationship Id="rId62" Type="http://schemas.openxmlformats.org/officeDocument/2006/relationships/hyperlink" Target="https://ieeexplore.ieee.org/servlet/opac?punumber=5289" TargetMode="External"/><Relationship Id="rId83" Type="http://schemas.openxmlformats.org/officeDocument/2006/relationships/hyperlink" Target="https://ieeexplore.ieee.org/servlet/opac?punumber=8700143" TargetMode="External"/><Relationship Id="rId179" Type="http://schemas.openxmlformats.org/officeDocument/2006/relationships/hyperlink" Target="https://ieeexplore.ieee.org/servlet/opac?punumber=6046" TargetMode="External"/><Relationship Id="rId190" Type="http://schemas.openxmlformats.org/officeDocument/2006/relationships/hyperlink" Target="https://ieeexplore.ieee.org/servlet/opac?punumber=61" TargetMode="External"/><Relationship Id="rId204" Type="http://schemas.openxmlformats.org/officeDocument/2006/relationships/hyperlink" Target="https://ieeexplore.ieee.org/servlet/opac?punumber=5165411" TargetMode="External"/><Relationship Id="rId225" Type="http://schemas.openxmlformats.org/officeDocument/2006/relationships/hyperlink" Target="https://ieeexplore.ieee.org/servlet/opac?punumber=84" TargetMode="External"/><Relationship Id="rId246" Type="http://schemas.openxmlformats.org/officeDocument/2006/relationships/hyperlink" Target="https://ieeexplore.ieee.org/servlet/opac?punumber=6745853" TargetMode="External"/><Relationship Id="rId106" Type="http://schemas.openxmlformats.org/officeDocument/2006/relationships/hyperlink" Target="https://ieeexplore.ieee.org/servlet/opac?punumber=8011414" TargetMode="External"/><Relationship Id="rId127" Type="http://schemas.openxmlformats.org/officeDocument/2006/relationships/hyperlink" Target="https://ieeexplore.ieee.org/servlet/opac?punumber=6245519" TargetMode="External"/><Relationship Id="rId10" Type="http://schemas.openxmlformats.org/officeDocument/2006/relationships/hyperlink" Target="https://ieeexplore.ieee.org/servlet/opac?punumber=6221039" TargetMode="External"/><Relationship Id="rId31" Type="http://schemas.openxmlformats.org/officeDocument/2006/relationships/hyperlink" Target="https://ieeexplore.ieee.org/servlet/opac?punumber=4563994" TargetMode="External"/><Relationship Id="rId52" Type="http://schemas.openxmlformats.org/officeDocument/2006/relationships/hyperlink" Target="https://ieeexplore.ieee.org/servlet/opac?punumber=7782633" TargetMode="External"/><Relationship Id="rId73" Type="http://schemas.openxmlformats.org/officeDocument/2006/relationships/hyperlink" Target="https://ieeexplore.ieee.org/servlet/opac?punumber=3" TargetMode="External"/><Relationship Id="rId94" Type="http://schemas.openxmlformats.org/officeDocument/2006/relationships/hyperlink" Target="https://ieeexplore.ieee.org/servlet/opac?punumber=10167708" TargetMode="External"/><Relationship Id="rId148" Type="http://schemas.openxmlformats.org/officeDocument/2006/relationships/hyperlink" Target="https://ieeexplore.ieee.org/servlet/opac?punumber=6245516" TargetMode="External"/><Relationship Id="rId169" Type="http://schemas.openxmlformats.org/officeDocument/2006/relationships/hyperlink" Target="https://ieeexplore.ieee.org/servlet/opac?punumber=72748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P1000"/>
  <sheetViews>
    <sheetView tabSelected="1" workbookViewId="0">
      <pane ySplit="2" topLeftCell="A8" activePane="bottomLeft" state="frozen"/>
      <selection pane="bottomLeft" activeCell="E36" sqref="E36"/>
    </sheetView>
  </sheetViews>
  <sheetFormatPr defaultColWidth="12.6640625" defaultRowHeight="15.75" customHeight="1"/>
  <cols>
    <col min="1" max="1" width="5.44140625" bestFit="1" customWidth="1"/>
    <col min="2" max="2" width="18.77734375" bestFit="1" customWidth="1"/>
    <col min="3" max="3" width="89.5546875" bestFit="1" customWidth="1"/>
    <col min="4" max="4" width="19.44140625" bestFit="1" customWidth="1"/>
    <col min="5" max="6" width="10.5546875" bestFit="1" customWidth="1"/>
    <col min="7" max="7" width="5.6640625" bestFit="1" customWidth="1"/>
    <col min="8" max="8" width="24.33203125" bestFit="1" customWidth="1"/>
    <col min="9" max="9" width="19.5546875" bestFit="1" customWidth="1"/>
    <col min="10" max="10" width="11.5546875" bestFit="1" customWidth="1"/>
    <col min="11" max="11" width="6" bestFit="1" customWidth="1"/>
    <col min="12" max="12" width="10.5546875" bestFit="1" customWidth="1"/>
    <col min="13" max="13" width="24.6640625" bestFit="1" customWidth="1"/>
    <col min="14" max="14" width="8.88671875" bestFit="1" customWidth="1"/>
    <col min="15" max="15" width="61" bestFit="1" customWidth="1"/>
    <col min="16" max="16" width="10" bestFit="1" customWidth="1"/>
  </cols>
  <sheetData>
    <row r="1" spans="1:16" ht="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6" ht="15.75" hidden="1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</row>
    <row r="3" spans="1:16" ht="15.75" hidden="1" customHeight="1">
      <c r="A3" s="4">
        <v>1</v>
      </c>
      <c r="B3" s="5" t="s">
        <v>16</v>
      </c>
      <c r="C3" s="5" t="s">
        <v>17</v>
      </c>
      <c r="D3" s="6" t="s">
        <v>18</v>
      </c>
      <c r="E3" s="4" t="s">
        <v>19</v>
      </c>
      <c r="F3" s="4" t="s">
        <v>19</v>
      </c>
      <c r="G3" s="4" t="s">
        <v>20</v>
      </c>
      <c r="H3" s="4">
        <v>4.2</v>
      </c>
      <c r="I3" s="4">
        <v>4.3</v>
      </c>
      <c r="J3" s="4" t="s">
        <v>21</v>
      </c>
      <c r="K3" s="4">
        <v>0.82</v>
      </c>
      <c r="L3" s="4">
        <v>0.32865</v>
      </c>
      <c r="M3" s="4">
        <v>0.68200000000000005</v>
      </c>
      <c r="N3" s="4">
        <v>9.3000000000000007</v>
      </c>
      <c r="O3" s="7" t="s">
        <v>22</v>
      </c>
      <c r="P3">
        <f>SUM(A3:O3)</f>
        <v>20.630650000000003</v>
      </c>
    </row>
    <row r="4" spans="1:16" ht="15.75" hidden="1" customHeight="1">
      <c r="A4" s="4">
        <v>2</v>
      </c>
      <c r="B4" s="5" t="s">
        <v>23</v>
      </c>
      <c r="C4" s="5" t="s">
        <v>24</v>
      </c>
      <c r="D4" s="6" t="s">
        <v>18</v>
      </c>
      <c r="E4" s="4" t="s">
        <v>25</v>
      </c>
      <c r="F4" s="4" t="s">
        <v>26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7" t="s">
        <v>27</v>
      </c>
      <c r="P4">
        <f>SUM(A4:O4)</f>
        <v>2</v>
      </c>
    </row>
    <row r="5" spans="1:16" ht="15.75" hidden="1" customHeight="1">
      <c r="A5" s="4">
        <v>3</v>
      </c>
      <c r="B5" s="5" t="s">
        <v>28</v>
      </c>
      <c r="C5" s="5" t="s">
        <v>29</v>
      </c>
      <c r="D5" s="6" t="s">
        <v>18</v>
      </c>
      <c r="E5" s="4" t="s">
        <v>25</v>
      </c>
      <c r="F5" s="4" t="s">
        <v>30</v>
      </c>
      <c r="G5" s="4" t="s">
        <v>31</v>
      </c>
      <c r="H5" s="4">
        <v>2.9</v>
      </c>
      <c r="I5" s="4">
        <v>2.9</v>
      </c>
      <c r="J5" s="4" t="s">
        <v>32</v>
      </c>
      <c r="K5" s="4">
        <v>0.52</v>
      </c>
      <c r="L5" s="4">
        <v>1.4999999999999999E-4</v>
      </c>
      <c r="M5" s="4">
        <v>0.45100000000000001</v>
      </c>
      <c r="N5" s="4">
        <v>3.8</v>
      </c>
      <c r="O5" s="7" t="s">
        <v>33</v>
      </c>
      <c r="P5">
        <f>SUM(A5:O5)</f>
        <v>13.571149999999999</v>
      </c>
    </row>
    <row r="6" spans="1:16" ht="15.75" hidden="1" customHeight="1">
      <c r="A6" s="4">
        <v>4</v>
      </c>
      <c r="B6" s="5" t="s">
        <v>34</v>
      </c>
      <c r="C6" s="5" t="s">
        <v>35</v>
      </c>
      <c r="D6" s="6" t="s">
        <v>18</v>
      </c>
      <c r="E6" s="4" t="s">
        <v>25</v>
      </c>
      <c r="F6" s="4" t="s">
        <v>36</v>
      </c>
      <c r="G6" s="4" t="s">
        <v>31</v>
      </c>
      <c r="H6" s="4">
        <v>4.5</v>
      </c>
      <c r="I6" s="4">
        <v>6.3</v>
      </c>
      <c r="J6" s="4" t="s">
        <v>21</v>
      </c>
      <c r="K6" s="4">
        <v>0.9</v>
      </c>
      <c r="L6" s="4">
        <v>3.3999999999999998E-3</v>
      </c>
      <c r="M6" s="4">
        <v>1.425</v>
      </c>
      <c r="N6" s="4">
        <v>8.4</v>
      </c>
      <c r="O6" s="7" t="s">
        <v>37</v>
      </c>
      <c r="P6">
        <f>SUM(A6:O6)</f>
        <v>25.528399999999998</v>
      </c>
    </row>
    <row r="7" spans="1:16" ht="15.75" hidden="1" customHeight="1">
      <c r="A7" s="4">
        <v>5</v>
      </c>
      <c r="B7" s="5" t="s">
        <v>38</v>
      </c>
      <c r="C7" s="5" t="s">
        <v>39</v>
      </c>
      <c r="D7" s="6" t="s">
        <v>18</v>
      </c>
      <c r="E7" s="4" t="s">
        <v>25</v>
      </c>
      <c r="F7" s="4" t="s">
        <v>40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7" t="s">
        <v>41</v>
      </c>
      <c r="P7">
        <f>SUM(A7:O7)</f>
        <v>5</v>
      </c>
    </row>
    <row r="8" spans="1:16" ht="46.8">
      <c r="A8" s="4">
        <v>6</v>
      </c>
      <c r="B8" s="5" t="s">
        <v>42</v>
      </c>
      <c r="C8" s="5" t="s">
        <v>43</v>
      </c>
      <c r="D8" s="6" t="s">
        <v>18</v>
      </c>
      <c r="E8" s="4" t="s">
        <v>44</v>
      </c>
      <c r="F8" s="4" t="s">
        <v>45</v>
      </c>
      <c r="G8" s="4" t="s">
        <v>20</v>
      </c>
      <c r="H8" s="4">
        <v>6.3</v>
      </c>
      <c r="I8" s="4">
        <v>6.2</v>
      </c>
      <c r="J8" s="4" t="s">
        <v>46</v>
      </c>
      <c r="K8" s="4">
        <v>1.22</v>
      </c>
      <c r="L8" s="4">
        <v>4.5069999999999999E-2</v>
      </c>
      <c r="M8" s="4">
        <v>1.3640000000000001</v>
      </c>
      <c r="N8" s="4">
        <v>8.5</v>
      </c>
      <c r="O8" s="7" t="s">
        <v>47</v>
      </c>
      <c r="P8">
        <f>SUM(A8:O8)</f>
        <v>29.629069999999999</v>
      </c>
    </row>
    <row r="9" spans="1:16" ht="15.75" hidden="1" customHeight="1">
      <c r="A9" s="4">
        <v>7</v>
      </c>
      <c r="B9" s="5" t="s">
        <v>48</v>
      </c>
      <c r="C9" s="5" t="s">
        <v>49</v>
      </c>
      <c r="D9" s="6" t="s">
        <v>18</v>
      </c>
      <c r="E9" s="4" t="s">
        <v>25</v>
      </c>
      <c r="F9" s="4" t="s">
        <v>50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25</v>
      </c>
      <c r="M9" s="4" t="s">
        <v>25</v>
      </c>
      <c r="N9" s="4" t="s">
        <v>25</v>
      </c>
      <c r="O9" s="7" t="s">
        <v>51</v>
      </c>
      <c r="P9">
        <f>SUM(A9:O9)</f>
        <v>7</v>
      </c>
    </row>
    <row r="10" spans="1:16" ht="15.75" hidden="1" customHeight="1">
      <c r="A10" s="4">
        <v>8</v>
      </c>
      <c r="B10" s="5" t="s">
        <v>52</v>
      </c>
      <c r="C10" s="5" t="s">
        <v>53</v>
      </c>
      <c r="D10" s="6" t="s">
        <v>18</v>
      </c>
      <c r="E10" s="4" t="s">
        <v>54</v>
      </c>
      <c r="F10" s="4" t="s">
        <v>54</v>
      </c>
      <c r="G10" s="4" t="s">
        <v>20</v>
      </c>
      <c r="H10" s="4">
        <v>2.9</v>
      </c>
      <c r="I10" s="4">
        <v>2.7</v>
      </c>
      <c r="J10" s="4" t="s">
        <v>21</v>
      </c>
      <c r="K10" s="4">
        <v>0.59</v>
      </c>
      <c r="L10" s="4">
        <v>3.3700000000000002E-3</v>
      </c>
      <c r="M10" s="4">
        <v>0.58099999999999996</v>
      </c>
      <c r="N10" s="4">
        <v>4.8</v>
      </c>
      <c r="O10" s="7" t="s">
        <v>55</v>
      </c>
      <c r="P10">
        <f>SUM(A10:O10)</f>
        <v>19.574370000000002</v>
      </c>
    </row>
    <row r="11" spans="1:16" ht="15.75" hidden="1" customHeight="1">
      <c r="A11" s="4">
        <v>9</v>
      </c>
      <c r="B11" s="5" t="s">
        <v>56</v>
      </c>
      <c r="C11" s="5" t="s">
        <v>57</v>
      </c>
      <c r="D11" s="6" t="s">
        <v>18</v>
      </c>
      <c r="E11" s="4" t="s">
        <v>58</v>
      </c>
      <c r="F11" s="4" t="s">
        <v>58</v>
      </c>
      <c r="G11" s="4" t="s">
        <v>20</v>
      </c>
      <c r="H11" s="4">
        <v>3.9</v>
      </c>
      <c r="I11" s="4">
        <v>4.4000000000000004</v>
      </c>
      <c r="J11" s="4" t="s">
        <v>21</v>
      </c>
      <c r="K11" s="4">
        <v>0.86</v>
      </c>
      <c r="L11" s="4">
        <v>1.8699999999999999E-3</v>
      </c>
      <c r="M11" s="4">
        <v>0.85099999999999998</v>
      </c>
      <c r="N11" s="4">
        <v>10.199999999999999</v>
      </c>
      <c r="O11" s="7" t="s">
        <v>59</v>
      </c>
      <c r="P11">
        <f>SUM(A11:O11)</f>
        <v>29.212869999999999</v>
      </c>
    </row>
    <row r="12" spans="1:16" ht="15.75" hidden="1" customHeight="1">
      <c r="A12" s="4">
        <v>10</v>
      </c>
      <c r="B12" s="5" t="s">
        <v>60</v>
      </c>
      <c r="C12" s="5" t="s">
        <v>61</v>
      </c>
      <c r="D12" s="6" t="s">
        <v>18</v>
      </c>
      <c r="E12" s="4" t="s">
        <v>62</v>
      </c>
      <c r="F12" s="4" t="s">
        <v>62</v>
      </c>
      <c r="G12" s="4" t="s">
        <v>31</v>
      </c>
      <c r="H12" s="4">
        <v>3.1</v>
      </c>
      <c r="I12" s="4">
        <v>3.1</v>
      </c>
      <c r="J12" s="4" t="s">
        <v>21</v>
      </c>
      <c r="K12" s="4">
        <v>0.66</v>
      </c>
      <c r="L12" s="4">
        <v>8.0000000000000004E-4</v>
      </c>
      <c r="M12" s="4">
        <v>0.89500000000000002</v>
      </c>
      <c r="N12" s="4">
        <v>6.1</v>
      </c>
      <c r="O12" s="7" t="s">
        <v>63</v>
      </c>
      <c r="P12">
        <f>SUM(A12:O12)</f>
        <v>23.855800000000002</v>
      </c>
    </row>
    <row r="13" spans="1:16" ht="15.75" hidden="1" customHeight="1">
      <c r="A13" s="4">
        <v>11</v>
      </c>
      <c r="B13" s="5" t="s">
        <v>64</v>
      </c>
      <c r="C13" s="5" t="s">
        <v>65</v>
      </c>
      <c r="D13" s="6" t="s">
        <v>18</v>
      </c>
      <c r="E13" s="4" t="s">
        <v>25</v>
      </c>
      <c r="F13" s="4" t="s">
        <v>66</v>
      </c>
      <c r="G13" s="4" t="s">
        <v>31</v>
      </c>
      <c r="H13" s="4">
        <v>2.8</v>
      </c>
      <c r="I13" s="4">
        <v>3.8</v>
      </c>
      <c r="J13" s="4" t="s">
        <v>32</v>
      </c>
      <c r="K13" s="4">
        <v>0.54</v>
      </c>
      <c r="L13" s="4">
        <v>1.72E-3</v>
      </c>
      <c r="M13" s="4">
        <v>0.90200000000000002</v>
      </c>
      <c r="N13" s="4">
        <v>6.7</v>
      </c>
      <c r="O13" s="7" t="s">
        <v>67</v>
      </c>
      <c r="P13">
        <f>SUM(A13:O13)</f>
        <v>25.74372</v>
      </c>
    </row>
    <row r="14" spans="1:16" ht="15.75" hidden="1" customHeight="1">
      <c r="A14" s="4">
        <v>12</v>
      </c>
      <c r="B14" s="5" t="s">
        <v>68</v>
      </c>
      <c r="C14" s="5" t="s">
        <v>69</v>
      </c>
      <c r="D14" s="6" t="s">
        <v>18</v>
      </c>
      <c r="E14" s="4" t="s">
        <v>25</v>
      </c>
      <c r="F14" s="4" t="s">
        <v>70</v>
      </c>
      <c r="G14" s="4" t="s">
        <v>31</v>
      </c>
      <c r="H14" s="4">
        <v>3.4</v>
      </c>
      <c r="I14" s="4">
        <v>3.8</v>
      </c>
      <c r="J14" s="4" t="s">
        <v>21</v>
      </c>
      <c r="K14" s="4">
        <v>0.73</v>
      </c>
      <c r="L14" s="4">
        <v>3.7399999999999998E-3</v>
      </c>
      <c r="M14" s="4">
        <v>0.94</v>
      </c>
      <c r="N14" s="4">
        <v>7.1</v>
      </c>
      <c r="O14" s="7" t="s">
        <v>71</v>
      </c>
      <c r="P14">
        <f>SUM(A14:O14)</f>
        <v>27.973739999999999</v>
      </c>
    </row>
    <row r="15" spans="1:16" ht="15.75" hidden="1" customHeight="1">
      <c r="A15" s="4">
        <v>13</v>
      </c>
      <c r="B15" s="5" t="s">
        <v>72</v>
      </c>
      <c r="C15" s="5" t="s">
        <v>73</v>
      </c>
      <c r="D15" s="6" t="s">
        <v>18</v>
      </c>
      <c r="E15" s="4" t="s">
        <v>25</v>
      </c>
      <c r="F15" s="4" t="s">
        <v>74</v>
      </c>
      <c r="G15" s="4" t="s">
        <v>31</v>
      </c>
      <c r="H15" s="4">
        <v>1.8</v>
      </c>
      <c r="I15" s="4">
        <v>2.7</v>
      </c>
      <c r="J15" s="4" t="s">
        <v>32</v>
      </c>
      <c r="K15" s="4">
        <v>0.46</v>
      </c>
      <c r="L15" s="4">
        <v>9.5E-4</v>
      </c>
      <c r="M15" s="4">
        <v>0.79900000000000004</v>
      </c>
      <c r="N15" s="4">
        <v>4.3</v>
      </c>
      <c r="O15" s="7" t="s">
        <v>75</v>
      </c>
      <c r="P15">
        <f>SUM(A15:O15)</f>
        <v>23.059950000000001</v>
      </c>
    </row>
    <row r="16" spans="1:16" ht="15.75" hidden="1" customHeight="1">
      <c r="A16" s="4">
        <v>14</v>
      </c>
      <c r="B16" s="5" t="s">
        <v>76</v>
      </c>
      <c r="C16" s="5" t="s">
        <v>77</v>
      </c>
      <c r="D16" s="6" t="s">
        <v>18</v>
      </c>
      <c r="E16" s="4" t="s">
        <v>25</v>
      </c>
      <c r="F16" s="4" t="s">
        <v>78</v>
      </c>
      <c r="G16" s="4" t="s">
        <v>31</v>
      </c>
      <c r="H16" s="4">
        <v>2.1</v>
      </c>
      <c r="I16" s="4">
        <v>2.4</v>
      </c>
      <c r="J16" s="4" t="s">
        <v>32</v>
      </c>
      <c r="K16" s="4">
        <v>0.37</v>
      </c>
      <c r="L16" s="4">
        <v>6.6E-4</v>
      </c>
      <c r="M16" s="4">
        <v>0.90500000000000003</v>
      </c>
      <c r="N16" s="4">
        <v>3.7</v>
      </c>
      <c r="O16" s="7" t="s">
        <v>79</v>
      </c>
      <c r="P16">
        <f>SUM(A16:O16)</f>
        <v>23.475660000000001</v>
      </c>
    </row>
    <row r="17" spans="1:16" ht="15.75" hidden="1" customHeight="1">
      <c r="A17" s="4">
        <v>15</v>
      </c>
      <c r="B17" s="5" t="s">
        <v>80</v>
      </c>
      <c r="C17" s="5" t="s">
        <v>81</v>
      </c>
      <c r="D17" s="6" t="s">
        <v>18</v>
      </c>
      <c r="E17" s="4" t="s">
        <v>25</v>
      </c>
      <c r="F17" s="4" t="s">
        <v>82</v>
      </c>
      <c r="G17" s="4" t="s">
        <v>31</v>
      </c>
      <c r="H17" s="4">
        <v>3.1</v>
      </c>
      <c r="I17" s="4">
        <v>3.4</v>
      </c>
      <c r="J17" s="4" t="s">
        <v>21</v>
      </c>
      <c r="K17" s="4">
        <v>0.64</v>
      </c>
      <c r="L17" s="4">
        <v>1.1800000000000001E-3</v>
      </c>
      <c r="M17" s="4">
        <v>0.69399999999999995</v>
      </c>
      <c r="N17" s="4">
        <v>5.3</v>
      </c>
      <c r="O17" s="7" t="s">
        <v>83</v>
      </c>
      <c r="P17">
        <f>SUM(A17:O17)</f>
        <v>28.135180000000002</v>
      </c>
    </row>
    <row r="18" spans="1:16" ht="15.75" hidden="1" customHeight="1">
      <c r="A18" s="4">
        <v>16</v>
      </c>
      <c r="B18" s="5" t="s">
        <v>84</v>
      </c>
      <c r="C18" s="5" t="s">
        <v>85</v>
      </c>
      <c r="D18" s="6" t="s">
        <v>18</v>
      </c>
      <c r="E18" s="4" t="s">
        <v>25</v>
      </c>
      <c r="F18" s="4" t="s">
        <v>86</v>
      </c>
      <c r="G18" s="4" t="s">
        <v>31</v>
      </c>
      <c r="H18" s="4">
        <v>3.8</v>
      </c>
      <c r="I18" s="4">
        <v>7.9</v>
      </c>
      <c r="J18" s="4" t="s">
        <v>21</v>
      </c>
      <c r="K18" s="4">
        <v>0.7</v>
      </c>
      <c r="L18" s="4">
        <v>1.74E-3</v>
      </c>
      <c r="M18" s="4">
        <v>1.9610000000000001</v>
      </c>
      <c r="N18" s="4">
        <v>5.8</v>
      </c>
      <c r="O18" s="7" t="s">
        <v>87</v>
      </c>
      <c r="P18">
        <f>SUM(A18:O18)</f>
        <v>36.162739999999999</v>
      </c>
    </row>
    <row r="19" spans="1:16" ht="15.75" hidden="1" customHeight="1">
      <c r="A19" s="4">
        <v>17</v>
      </c>
      <c r="B19" s="5" t="s">
        <v>88</v>
      </c>
      <c r="C19" s="5" t="s">
        <v>89</v>
      </c>
      <c r="D19" s="6" t="s">
        <v>18</v>
      </c>
      <c r="E19" s="4" t="s">
        <v>25</v>
      </c>
      <c r="F19" s="4" t="s">
        <v>90</v>
      </c>
      <c r="G19" s="4" t="s">
        <v>31</v>
      </c>
      <c r="H19" s="4">
        <v>2</v>
      </c>
      <c r="I19" s="4">
        <v>2.1</v>
      </c>
      <c r="J19" s="4" t="s">
        <v>32</v>
      </c>
      <c r="K19" s="4">
        <v>0.38</v>
      </c>
      <c r="L19" s="4">
        <v>2.9999999999999997E-4</v>
      </c>
      <c r="M19" s="4">
        <v>0.38400000000000001</v>
      </c>
      <c r="N19" s="4">
        <v>3.7</v>
      </c>
      <c r="O19" s="7" t="s">
        <v>91</v>
      </c>
      <c r="P19">
        <f>SUM(A19:O19)</f>
        <v>25.564299999999999</v>
      </c>
    </row>
    <row r="20" spans="1:16" ht="15.75" hidden="1" customHeight="1">
      <c r="A20" s="4">
        <v>18</v>
      </c>
      <c r="B20" s="5" t="s">
        <v>92</v>
      </c>
      <c r="C20" s="5" t="s">
        <v>93</v>
      </c>
      <c r="D20" s="6" t="s">
        <v>18</v>
      </c>
      <c r="E20" s="4" t="s">
        <v>25</v>
      </c>
      <c r="F20" s="4" t="s">
        <v>94</v>
      </c>
      <c r="G20" s="4" t="s">
        <v>31</v>
      </c>
      <c r="H20" s="4">
        <v>4.5999999999999996</v>
      </c>
      <c r="I20" s="4">
        <v>5</v>
      </c>
      <c r="J20" s="4" t="s">
        <v>21</v>
      </c>
      <c r="K20" s="4">
        <v>0.95</v>
      </c>
      <c r="L20" s="4">
        <v>1.49E-3</v>
      </c>
      <c r="M20" s="4">
        <v>0.79900000000000004</v>
      </c>
      <c r="N20" s="4">
        <v>10.3</v>
      </c>
      <c r="O20" s="7" t="s">
        <v>95</v>
      </c>
      <c r="P20">
        <f>SUM(A20:O20)</f>
        <v>39.650490000000005</v>
      </c>
    </row>
    <row r="21" spans="1:16" ht="15.75" hidden="1" customHeight="1">
      <c r="A21" s="4">
        <v>19</v>
      </c>
      <c r="B21" s="5" t="s">
        <v>96</v>
      </c>
      <c r="C21" s="5" t="s">
        <v>97</v>
      </c>
      <c r="D21" s="6" t="s">
        <v>18</v>
      </c>
      <c r="E21" s="4" t="s">
        <v>25</v>
      </c>
      <c r="F21" s="4" t="s">
        <v>98</v>
      </c>
      <c r="G21" s="4" t="s">
        <v>31</v>
      </c>
      <c r="H21" s="4">
        <v>3</v>
      </c>
      <c r="I21" s="4">
        <v>2.6</v>
      </c>
      <c r="J21" s="4" t="s">
        <v>32</v>
      </c>
      <c r="K21" s="4">
        <v>0.35</v>
      </c>
      <c r="L21" s="4">
        <v>3.5E-4</v>
      </c>
      <c r="M21" s="4">
        <v>0.436</v>
      </c>
      <c r="N21" s="4">
        <v>6</v>
      </c>
      <c r="O21" s="7" t="s">
        <v>99</v>
      </c>
      <c r="P21">
        <f>SUM(A21:O21)</f>
        <v>31.386350000000004</v>
      </c>
    </row>
    <row r="22" spans="1:16" ht="15.75" hidden="1" customHeight="1">
      <c r="A22" s="4">
        <v>20</v>
      </c>
      <c r="B22" s="5" t="s">
        <v>100</v>
      </c>
      <c r="C22" s="5" t="s">
        <v>101</v>
      </c>
      <c r="D22" s="6" t="s">
        <v>18</v>
      </c>
      <c r="E22" s="4" t="s">
        <v>25</v>
      </c>
      <c r="F22" s="4" t="s">
        <v>102</v>
      </c>
      <c r="G22" s="4" t="s">
        <v>31</v>
      </c>
      <c r="H22" s="4">
        <v>4.8</v>
      </c>
      <c r="I22" s="4">
        <v>6</v>
      </c>
      <c r="J22" s="4" t="s">
        <v>21</v>
      </c>
      <c r="K22" s="4">
        <v>0.96</v>
      </c>
      <c r="L22" s="4">
        <v>3.62E-3</v>
      </c>
      <c r="M22" s="4">
        <v>1.385</v>
      </c>
      <c r="N22" s="4">
        <v>9.1</v>
      </c>
      <c r="O22" s="7" t="s">
        <v>103</v>
      </c>
      <c r="P22">
        <f>SUM(A22:O22)</f>
        <v>42.248620000000003</v>
      </c>
    </row>
    <row r="23" spans="1:16" ht="15.75" hidden="1" customHeight="1">
      <c r="A23" s="4">
        <v>21</v>
      </c>
      <c r="B23" s="5" t="s">
        <v>104</v>
      </c>
      <c r="C23" s="5" t="s">
        <v>105</v>
      </c>
      <c r="D23" s="6" t="s">
        <v>18</v>
      </c>
      <c r="E23" s="4" t="s">
        <v>25</v>
      </c>
      <c r="F23" s="4" t="s">
        <v>106</v>
      </c>
      <c r="G23" s="4" t="s">
        <v>31</v>
      </c>
      <c r="H23" s="4">
        <v>2.6</v>
      </c>
      <c r="I23" s="4">
        <v>3.2</v>
      </c>
      <c r="J23" s="4" t="s">
        <v>32</v>
      </c>
      <c r="K23" s="4">
        <v>0.63</v>
      </c>
      <c r="L23" s="4">
        <v>1.33E-3</v>
      </c>
      <c r="M23" s="4">
        <v>0.79200000000000004</v>
      </c>
      <c r="N23" s="4">
        <v>4.5999999999999996</v>
      </c>
      <c r="O23" s="7" t="s">
        <v>107</v>
      </c>
      <c r="P23">
        <f>SUM(A23:O23)</f>
        <v>32.823329999999999</v>
      </c>
    </row>
    <row r="24" spans="1:16" ht="15.75" hidden="1" customHeight="1">
      <c r="A24" s="4">
        <v>22</v>
      </c>
      <c r="B24" s="5" t="s">
        <v>108</v>
      </c>
      <c r="C24" s="5" t="s">
        <v>109</v>
      </c>
      <c r="D24" s="6" t="s">
        <v>18</v>
      </c>
      <c r="E24" s="4" t="s">
        <v>25</v>
      </c>
      <c r="F24" s="4" t="s">
        <v>110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25</v>
      </c>
      <c r="N24" s="4" t="s">
        <v>25</v>
      </c>
      <c r="O24" s="7" t="s">
        <v>111</v>
      </c>
      <c r="P24">
        <f>SUM(A24:O24)</f>
        <v>22</v>
      </c>
    </row>
    <row r="25" spans="1:16" ht="31.2">
      <c r="A25" s="4">
        <v>23</v>
      </c>
      <c r="B25" s="5" t="s">
        <v>112</v>
      </c>
      <c r="C25" s="5" t="s">
        <v>113</v>
      </c>
      <c r="D25" s="6" t="s">
        <v>18</v>
      </c>
      <c r="E25" s="4" t="s">
        <v>25</v>
      </c>
      <c r="F25" s="4" t="s">
        <v>114</v>
      </c>
      <c r="G25" s="4" t="s">
        <v>31</v>
      </c>
      <c r="H25" s="4">
        <v>6.2</v>
      </c>
      <c r="I25" s="4">
        <v>7.5</v>
      </c>
      <c r="J25" s="4" t="s">
        <v>46</v>
      </c>
      <c r="K25" s="4">
        <v>1.22</v>
      </c>
      <c r="L25" s="4">
        <v>1.3679999999999999E-2</v>
      </c>
      <c r="M25" s="4">
        <v>1.776</v>
      </c>
      <c r="N25" s="4">
        <v>9</v>
      </c>
      <c r="O25" s="7" t="s">
        <v>115</v>
      </c>
      <c r="P25">
        <f>SUM(A25:O25)</f>
        <v>48.709680000000006</v>
      </c>
    </row>
    <row r="26" spans="1:16" ht="31.2">
      <c r="A26" s="4">
        <v>24</v>
      </c>
      <c r="B26" s="5" t="s">
        <v>116</v>
      </c>
      <c r="C26" s="5" t="s">
        <v>117</v>
      </c>
      <c r="D26" s="6" t="s">
        <v>18</v>
      </c>
      <c r="E26" s="4" t="s">
        <v>25</v>
      </c>
      <c r="F26" s="4" t="s">
        <v>118</v>
      </c>
      <c r="G26" s="4" t="s">
        <v>31</v>
      </c>
      <c r="H26" s="4">
        <v>6</v>
      </c>
      <c r="I26" s="4">
        <v>6.4</v>
      </c>
      <c r="J26" s="4" t="s">
        <v>46</v>
      </c>
      <c r="K26" s="4">
        <v>1.35</v>
      </c>
      <c r="L26" s="4">
        <v>1.5299999999999999E-3</v>
      </c>
      <c r="M26" s="4">
        <v>1.2470000000000001</v>
      </c>
      <c r="N26" s="4">
        <v>9.4</v>
      </c>
      <c r="O26" s="7" t="s">
        <v>119</v>
      </c>
      <c r="P26">
        <f>SUM(A26:O26)</f>
        <v>48.398530000000001</v>
      </c>
    </row>
    <row r="27" spans="1:16" ht="15.75" hidden="1" customHeight="1">
      <c r="A27" s="4">
        <v>25</v>
      </c>
      <c r="B27" s="5" t="s">
        <v>120</v>
      </c>
      <c r="C27" s="5" t="s">
        <v>121</v>
      </c>
      <c r="D27" s="6" t="s">
        <v>18</v>
      </c>
      <c r="E27" s="4" t="s">
        <v>25</v>
      </c>
      <c r="F27" s="4" t="s">
        <v>122</v>
      </c>
      <c r="G27" s="4" t="s">
        <v>31</v>
      </c>
      <c r="H27" s="4">
        <v>4.5999999999999996</v>
      </c>
      <c r="I27" s="4">
        <v>6</v>
      </c>
      <c r="J27" s="4" t="s">
        <v>21</v>
      </c>
      <c r="K27" s="4">
        <v>0.95</v>
      </c>
      <c r="L27" s="4">
        <v>2.5500000000000002E-3</v>
      </c>
      <c r="M27" s="4">
        <v>1.296</v>
      </c>
      <c r="N27" s="4">
        <v>9.1</v>
      </c>
      <c r="O27" s="7" t="s">
        <v>123</v>
      </c>
      <c r="P27">
        <f>SUM(A27:O27)</f>
        <v>46.948550000000004</v>
      </c>
    </row>
    <row r="28" spans="1:16" ht="15.75" hidden="1" customHeight="1">
      <c r="A28" s="4">
        <v>26</v>
      </c>
      <c r="B28" s="5" t="s">
        <v>124</v>
      </c>
      <c r="C28" s="5" t="s">
        <v>125</v>
      </c>
      <c r="D28" s="6" t="s">
        <v>18</v>
      </c>
      <c r="E28" s="4" t="s">
        <v>25</v>
      </c>
      <c r="F28" s="4" t="s">
        <v>126</v>
      </c>
      <c r="G28" s="4" t="s">
        <v>31</v>
      </c>
      <c r="H28" s="4">
        <v>3.7</v>
      </c>
      <c r="I28" s="4">
        <v>4.8</v>
      </c>
      <c r="J28" s="4" t="s">
        <v>21</v>
      </c>
      <c r="K28" s="4">
        <v>0.77</v>
      </c>
      <c r="L28" s="4">
        <v>1.3500000000000001E-3</v>
      </c>
      <c r="M28" s="4">
        <v>1.9830000000000001</v>
      </c>
      <c r="N28" s="4">
        <v>6</v>
      </c>
      <c r="O28" s="7" t="s">
        <v>127</v>
      </c>
      <c r="P28">
        <f>SUM(A28:O28)</f>
        <v>43.254350000000002</v>
      </c>
    </row>
    <row r="29" spans="1:16" ht="15.75" hidden="1" customHeight="1">
      <c r="A29" s="4">
        <v>27</v>
      </c>
      <c r="B29" s="5" t="s">
        <v>128</v>
      </c>
      <c r="C29" s="5" t="s">
        <v>129</v>
      </c>
      <c r="D29" s="6" t="s">
        <v>18</v>
      </c>
      <c r="E29" s="4" t="s">
        <v>25</v>
      </c>
      <c r="F29" s="4" t="s">
        <v>130</v>
      </c>
      <c r="G29" s="4" t="s">
        <v>31</v>
      </c>
      <c r="H29" s="4">
        <v>1.8</v>
      </c>
      <c r="I29" s="4">
        <v>2.4</v>
      </c>
      <c r="J29" s="4" t="s">
        <v>21</v>
      </c>
      <c r="K29" s="4">
        <v>0.52</v>
      </c>
      <c r="L29" s="4">
        <v>3.4000000000000002E-4</v>
      </c>
      <c r="M29" s="4">
        <v>0.68500000000000005</v>
      </c>
      <c r="N29" s="4">
        <v>4.5</v>
      </c>
      <c r="O29" s="7" t="s">
        <v>131</v>
      </c>
      <c r="P29">
        <f>SUM(A29:O29)</f>
        <v>36.905340000000002</v>
      </c>
    </row>
    <row r="30" spans="1:16" ht="31.2">
      <c r="A30" s="4">
        <v>28</v>
      </c>
      <c r="B30" s="5" t="s">
        <v>132</v>
      </c>
      <c r="C30" s="5" t="s">
        <v>133</v>
      </c>
      <c r="D30" s="6" t="s">
        <v>18</v>
      </c>
      <c r="E30" s="4" t="s">
        <v>25</v>
      </c>
      <c r="F30" s="4" t="s">
        <v>134</v>
      </c>
      <c r="G30" s="4" t="s">
        <v>31</v>
      </c>
      <c r="H30" s="4">
        <v>6.6</v>
      </c>
      <c r="I30" s="4">
        <v>7.1</v>
      </c>
      <c r="J30" s="4" t="s">
        <v>46</v>
      </c>
      <c r="K30" s="4">
        <v>1.26</v>
      </c>
      <c r="L30" s="4">
        <v>2.7100000000000002E-3</v>
      </c>
      <c r="M30" s="4">
        <v>1.444</v>
      </c>
      <c r="N30" s="4">
        <v>8.6999999999999993</v>
      </c>
      <c r="O30" s="7" t="s">
        <v>135</v>
      </c>
      <c r="P30">
        <f>SUM(A30:O30)</f>
        <v>53.106710000000007</v>
      </c>
    </row>
    <row r="31" spans="1:16" ht="31.2" hidden="1">
      <c r="A31" s="4">
        <v>29</v>
      </c>
      <c r="B31" s="5" t="s">
        <v>136</v>
      </c>
      <c r="C31" s="5" t="s">
        <v>137</v>
      </c>
      <c r="D31" s="6" t="s">
        <v>18</v>
      </c>
      <c r="E31" s="4" t="s">
        <v>25</v>
      </c>
      <c r="F31" s="4" t="s">
        <v>138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>
        <v>1.7</v>
      </c>
      <c r="O31" s="7" t="s">
        <v>139</v>
      </c>
      <c r="P31">
        <f>SUM(A31:O31)</f>
        <v>30.7</v>
      </c>
    </row>
    <row r="32" spans="1:16" ht="31.2" hidden="1">
      <c r="A32" s="4">
        <v>30</v>
      </c>
      <c r="B32" s="5" t="s">
        <v>140</v>
      </c>
      <c r="C32" s="5" t="s">
        <v>141</v>
      </c>
      <c r="D32" s="6" t="s">
        <v>18</v>
      </c>
      <c r="E32" s="4" t="s">
        <v>142</v>
      </c>
      <c r="F32" s="4" t="s">
        <v>143</v>
      </c>
      <c r="G32" s="4" t="s">
        <v>20</v>
      </c>
      <c r="H32" s="4">
        <v>2.6</v>
      </c>
      <c r="I32" s="4">
        <v>2.2999999999999998</v>
      </c>
      <c r="J32" s="4" t="s">
        <v>32</v>
      </c>
      <c r="K32" s="4">
        <v>0.56000000000000005</v>
      </c>
      <c r="L32" s="4">
        <v>7.6499999999999997E-3</v>
      </c>
      <c r="M32" s="4">
        <v>0.439</v>
      </c>
      <c r="N32" s="4">
        <v>5.8</v>
      </c>
      <c r="O32" s="7" t="s">
        <v>144</v>
      </c>
      <c r="P32">
        <f>SUM(A32:O32)</f>
        <v>41.706649999999996</v>
      </c>
    </row>
    <row r="33" spans="1:16" ht="31.2" hidden="1">
      <c r="A33" s="4">
        <v>31</v>
      </c>
      <c r="B33" s="5" t="s">
        <v>145</v>
      </c>
      <c r="C33" s="5" t="s">
        <v>146</v>
      </c>
      <c r="D33" s="6" t="s">
        <v>18</v>
      </c>
      <c r="E33" s="4" t="s">
        <v>147</v>
      </c>
      <c r="F33" s="4" t="s">
        <v>147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7" t="s">
        <v>148</v>
      </c>
      <c r="P33">
        <f>SUM(A33:O33)</f>
        <v>31</v>
      </c>
    </row>
    <row r="34" spans="1:16" ht="31.2" hidden="1">
      <c r="A34" s="4">
        <v>32</v>
      </c>
      <c r="B34" s="5" t="s">
        <v>149</v>
      </c>
      <c r="C34" s="5" t="s">
        <v>150</v>
      </c>
      <c r="D34" s="6" t="s">
        <v>18</v>
      </c>
      <c r="E34" s="4" t="s">
        <v>25</v>
      </c>
      <c r="F34" s="4" t="s">
        <v>151</v>
      </c>
      <c r="G34" s="4" t="s">
        <v>25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7" t="s">
        <v>152</v>
      </c>
      <c r="P34">
        <f>SUM(A34:O34)</f>
        <v>32</v>
      </c>
    </row>
    <row r="35" spans="1:16" ht="46.8" hidden="1">
      <c r="A35" s="4">
        <v>33</v>
      </c>
      <c r="B35" s="5" t="s">
        <v>153</v>
      </c>
      <c r="C35" s="5" t="s">
        <v>154</v>
      </c>
      <c r="D35" s="6" t="s">
        <v>18</v>
      </c>
      <c r="E35" s="4" t="s">
        <v>25</v>
      </c>
      <c r="F35" s="4" t="s">
        <v>155</v>
      </c>
      <c r="G35" s="4" t="s">
        <v>31</v>
      </c>
      <c r="H35" s="4">
        <v>4.9000000000000004</v>
      </c>
      <c r="I35" s="4">
        <v>4.9000000000000004</v>
      </c>
      <c r="J35" s="4" t="s">
        <v>21</v>
      </c>
      <c r="K35" s="4">
        <v>0.81</v>
      </c>
      <c r="L35" s="4">
        <v>1.0499999999999999E-3</v>
      </c>
      <c r="M35" s="4">
        <v>1.1000000000000001</v>
      </c>
      <c r="N35" s="4">
        <v>5.9</v>
      </c>
      <c r="O35" s="8" t="s">
        <v>156</v>
      </c>
      <c r="P35">
        <f>SUM(A35:O35)</f>
        <v>50.611049999999999</v>
      </c>
    </row>
    <row r="36" spans="1:16" ht="46.8">
      <c r="A36" s="4">
        <v>34</v>
      </c>
      <c r="B36" s="5" t="s">
        <v>157</v>
      </c>
      <c r="C36" s="5" t="s">
        <v>158</v>
      </c>
      <c r="D36" s="6" t="s">
        <v>18</v>
      </c>
      <c r="E36" s="4" t="s">
        <v>159</v>
      </c>
      <c r="F36" s="4" t="s">
        <v>160</v>
      </c>
      <c r="G36" s="4" t="s">
        <v>20</v>
      </c>
      <c r="H36" s="4">
        <v>6.6</v>
      </c>
      <c r="I36" s="4">
        <v>6.7</v>
      </c>
      <c r="J36" s="4" t="s">
        <v>46</v>
      </c>
      <c r="K36" s="4">
        <v>2.02</v>
      </c>
      <c r="L36" s="4">
        <v>1.8429999999999998E-2</v>
      </c>
      <c r="M36" s="4">
        <v>1.3720000000000001</v>
      </c>
      <c r="N36" s="4">
        <v>11</v>
      </c>
      <c r="O36" s="7" t="s">
        <v>161</v>
      </c>
      <c r="P36">
        <f>SUM(A36:O36)</f>
        <v>61.710430000000009</v>
      </c>
    </row>
    <row r="37" spans="1:16" ht="31.2" hidden="1">
      <c r="A37" s="4">
        <v>35</v>
      </c>
      <c r="B37" s="5" t="s">
        <v>162</v>
      </c>
      <c r="C37" s="5" t="s">
        <v>163</v>
      </c>
      <c r="D37" s="6" t="s">
        <v>18</v>
      </c>
      <c r="E37" s="4" t="s">
        <v>25</v>
      </c>
      <c r="F37" s="4" t="s">
        <v>164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7" t="s">
        <v>165</v>
      </c>
      <c r="P37">
        <f>SUM(A37:O37)</f>
        <v>35</v>
      </c>
    </row>
    <row r="38" spans="1:16" ht="31.2">
      <c r="A38" s="4">
        <v>36</v>
      </c>
      <c r="B38" s="5" t="s">
        <v>166</v>
      </c>
      <c r="C38" s="5" t="s">
        <v>167</v>
      </c>
      <c r="D38" s="6" t="s">
        <v>18</v>
      </c>
      <c r="E38" s="4" t="s">
        <v>25</v>
      </c>
      <c r="F38" s="4" t="s">
        <v>168</v>
      </c>
      <c r="G38" s="4" t="s">
        <v>31</v>
      </c>
      <c r="H38" s="4">
        <v>4.5999999999999996</v>
      </c>
      <c r="I38" s="4">
        <v>5.9</v>
      </c>
      <c r="J38" s="4" t="s">
        <v>46</v>
      </c>
      <c r="K38" s="4">
        <v>0.96</v>
      </c>
      <c r="L38" s="4">
        <v>2.8E-3</v>
      </c>
      <c r="M38" s="4">
        <v>1.417</v>
      </c>
      <c r="N38" s="4">
        <v>9.1</v>
      </c>
      <c r="O38" s="7" t="s">
        <v>169</v>
      </c>
      <c r="P38">
        <f>SUM(A38:O38)</f>
        <v>57.979800000000004</v>
      </c>
    </row>
    <row r="39" spans="1:16" ht="31.2" hidden="1">
      <c r="A39" s="4">
        <v>37</v>
      </c>
      <c r="B39" s="5" t="s">
        <v>170</v>
      </c>
      <c r="C39" s="5" t="s">
        <v>171</v>
      </c>
      <c r="D39" s="9" t="s">
        <v>172</v>
      </c>
      <c r="E39" s="4" t="s">
        <v>173</v>
      </c>
      <c r="F39" s="4" t="s">
        <v>174</v>
      </c>
      <c r="G39" s="4" t="s">
        <v>20</v>
      </c>
      <c r="H39" s="4">
        <v>2.2000000000000002</v>
      </c>
      <c r="I39" s="4">
        <v>2.2999999999999998</v>
      </c>
      <c r="J39" s="4" t="s">
        <v>32</v>
      </c>
      <c r="K39" s="4">
        <v>0.54</v>
      </c>
      <c r="L39" s="4">
        <v>2.6700000000000001E-3</v>
      </c>
      <c r="M39" s="4">
        <v>0.50900000000000001</v>
      </c>
      <c r="N39" s="4">
        <v>4.5999999999999996</v>
      </c>
      <c r="O39" s="7" t="s">
        <v>175</v>
      </c>
      <c r="P39">
        <f>SUM(A39:O39)</f>
        <v>47.151670000000003</v>
      </c>
    </row>
    <row r="40" spans="1:16" ht="31.2" hidden="1">
      <c r="A40" s="4">
        <v>38</v>
      </c>
      <c r="B40" s="5" t="s">
        <v>176</v>
      </c>
      <c r="C40" s="5" t="s">
        <v>177</v>
      </c>
      <c r="D40" s="9" t="s">
        <v>172</v>
      </c>
      <c r="E40" s="4" t="s">
        <v>178</v>
      </c>
      <c r="F40" s="4" t="s">
        <v>179</v>
      </c>
      <c r="G40" s="4" t="s">
        <v>20</v>
      </c>
      <c r="H40" s="4">
        <v>2.9</v>
      </c>
      <c r="I40" s="4">
        <v>2.7</v>
      </c>
      <c r="J40" s="4" t="s">
        <v>32</v>
      </c>
      <c r="K40" s="4">
        <v>0.34</v>
      </c>
      <c r="L40" s="4">
        <v>1.3500000000000001E-3</v>
      </c>
      <c r="M40" s="4">
        <v>0.69499999999999995</v>
      </c>
      <c r="N40" s="4">
        <v>4.2</v>
      </c>
      <c r="O40" s="7" t="s">
        <v>180</v>
      </c>
      <c r="P40">
        <f>SUM(A40:O40)</f>
        <v>48.83635000000001</v>
      </c>
    </row>
    <row r="41" spans="1:16" ht="31.2" hidden="1">
      <c r="A41" s="4">
        <v>39</v>
      </c>
      <c r="B41" s="5" t="s">
        <v>181</v>
      </c>
      <c r="C41" s="5" t="s">
        <v>182</v>
      </c>
      <c r="D41" s="9" t="s">
        <v>172</v>
      </c>
      <c r="E41" s="4" t="s">
        <v>183</v>
      </c>
      <c r="F41" s="4" t="s">
        <v>184</v>
      </c>
      <c r="G41" s="4" t="s">
        <v>20</v>
      </c>
      <c r="H41" s="4">
        <v>0.9</v>
      </c>
      <c r="I41" s="4">
        <v>0.8</v>
      </c>
      <c r="J41" s="4" t="s">
        <v>185</v>
      </c>
      <c r="K41" s="4">
        <v>0.56000000000000005</v>
      </c>
      <c r="L41" s="4">
        <v>2.0000000000000001E-4</v>
      </c>
      <c r="M41" s="4">
        <v>0.23200000000000001</v>
      </c>
      <c r="N41" s="4">
        <v>1.4</v>
      </c>
      <c r="O41" s="7" t="s">
        <v>186</v>
      </c>
      <c r="P41">
        <f>SUM(A41:O41)</f>
        <v>42.892199999999995</v>
      </c>
    </row>
    <row r="42" spans="1:16" ht="31.2" hidden="1">
      <c r="A42" s="4">
        <v>40</v>
      </c>
      <c r="B42" s="5" t="s">
        <v>187</v>
      </c>
      <c r="C42" s="5" t="s">
        <v>188</v>
      </c>
      <c r="D42" s="9" t="s">
        <v>172</v>
      </c>
      <c r="E42" s="4" t="s">
        <v>189</v>
      </c>
      <c r="F42" s="4" t="s">
        <v>190</v>
      </c>
      <c r="G42" s="4" t="s">
        <v>20</v>
      </c>
      <c r="H42" s="4">
        <v>3.6</v>
      </c>
      <c r="I42" s="4">
        <v>4.4000000000000004</v>
      </c>
      <c r="J42" s="4" t="s">
        <v>21</v>
      </c>
      <c r="K42" s="4">
        <v>0.88</v>
      </c>
      <c r="L42" s="4">
        <v>1.98E-3</v>
      </c>
      <c r="M42" s="4">
        <v>1.089</v>
      </c>
      <c r="N42" s="4">
        <v>7.5</v>
      </c>
      <c r="O42" s="7" t="s">
        <v>191</v>
      </c>
      <c r="P42">
        <f>SUM(A42:O42)</f>
        <v>57.470980000000004</v>
      </c>
    </row>
    <row r="43" spans="1:16" ht="31.2" hidden="1">
      <c r="A43" s="4">
        <v>41</v>
      </c>
      <c r="B43" s="5" t="s">
        <v>192</v>
      </c>
      <c r="C43" s="5" t="s">
        <v>193</v>
      </c>
      <c r="D43" s="9" t="s">
        <v>172</v>
      </c>
      <c r="E43" s="4" t="s">
        <v>194</v>
      </c>
      <c r="F43" s="4" t="s">
        <v>195</v>
      </c>
      <c r="G43" s="4" t="s">
        <v>20</v>
      </c>
      <c r="H43" s="4">
        <v>4.5999999999999996</v>
      </c>
      <c r="I43" s="4">
        <v>4.8</v>
      </c>
      <c r="J43" s="4" t="s">
        <v>21</v>
      </c>
      <c r="K43" s="4">
        <v>0.96</v>
      </c>
      <c r="L43" s="4">
        <v>2.4049999999999998E-2</v>
      </c>
      <c r="M43" s="4">
        <v>1.0069999999999999</v>
      </c>
      <c r="N43" s="4">
        <v>8</v>
      </c>
      <c r="O43" s="7" t="s">
        <v>196</v>
      </c>
      <c r="P43">
        <f>SUM(A43:O43)</f>
        <v>60.39105</v>
      </c>
    </row>
    <row r="44" spans="1:16" ht="31.2" hidden="1">
      <c r="A44" s="4">
        <v>42</v>
      </c>
      <c r="B44" s="5" t="s">
        <v>197</v>
      </c>
      <c r="C44" s="5" t="s">
        <v>198</v>
      </c>
      <c r="D44" s="9" t="s">
        <v>172</v>
      </c>
      <c r="E44" s="4" t="s">
        <v>199</v>
      </c>
      <c r="F44" s="4" t="s">
        <v>200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7" t="s">
        <v>201</v>
      </c>
      <c r="P44">
        <f>SUM(A44:O44)</f>
        <v>42</v>
      </c>
    </row>
    <row r="45" spans="1:16" ht="31.2" hidden="1">
      <c r="A45" s="4">
        <v>43</v>
      </c>
      <c r="B45" s="5" t="s">
        <v>202</v>
      </c>
      <c r="C45" s="5" t="s">
        <v>203</v>
      </c>
      <c r="D45" s="9" t="s">
        <v>172</v>
      </c>
      <c r="E45" s="4" t="s">
        <v>25</v>
      </c>
      <c r="F45" s="4" t="s">
        <v>204</v>
      </c>
      <c r="G45" s="4" t="s">
        <v>20</v>
      </c>
      <c r="H45" s="4">
        <v>1.6</v>
      </c>
      <c r="I45" s="4">
        <v>2.2000000000000002</v>
      </c>
      <c r="J45" s="4" t="s">
        <v>185</v>
      </c>
      <c r="K45" s="4">
        <v>0.39</v>
      </c>
      <c r="L45" s="4">
        <v>4.4000000000000002E-4</v>
      </c>
      <c r="M45" s="4">
        <v>0.371</v>
      </c>
      <c r="N45" s="4">
        <v>6</v>
      </c>
      <c r="O45" s="7" t="s">
        <v>205</v>
      </c>
      <c r="P45">
        <f>SUM(A45:O45)</f>
        <v>53.561440000000005</v>
      </c>
    </row>
    <row r="46" spans="1:16" ht="31.2" hidden="1">
      <c r="A46" s="4">
        <v>44</v>
      </c>
      <c r="B46" s="5" t="s">
        <v>206</v>
      </c>
      <c r="C46" s="5" t="s">
        <v>207</v>
      </c>
      <c r="D46" s="9" t="s">
        <v>172</v>
      </c>
      <c r="E46" s="4" t="s">
        <v>208</v>
      </c>
      <c r="F46" s="4" t="s">
        <v>209</v>
      </c>
      <c r="G46" s="4" t="s">
        <v>20</v>
      </c>
      <c r="H46" s="4">
        <v>4.5</v>
      </c>
      <c r="I46" s="4">
        <v>4.3</v>
      </c>
      <c r="J46" s="4" t="s">
        <v>21</v>
      </c>
      <c r="K46" s="4">
        <v>0.94</v>
      </c>
      <c r="L46" s="4">
        <v>2.9340000000000001E-2</v>
      </c>
      <c r="M46" s="4">
        <v>1.155</v>
      </c>
      <c r="N46" s="4">
        <v>9.1999999999999993</v>
      </c>
      <c r="O46" s="7" t="s">
        <v>210</v>
      </c>
      <c r="P46">
        <f>SUM(A46:O46)</f>
        <v>64.124339999999989</v>
      </c>
    </row>
    <row r="47" spans="1:16" ht="31.2">
      <c r="A47" s="4">
        <v>45</v>
      </c>
      <c r="B47" s="5" t="s">
        <v>211</v>
      </c>
      <c r="C47" s="5" t="s">
        <v>212</v>
      </c>
      <c r="D47" s="9" t="s">
        <v>172</v>
      </c>
      <c r="E47" s="4" t="s">
        <v>213</v>
      </c>
      <c r="F47" s="4" t="s">
        <v>214</v>
      </c>
      <c r="G47" s="4" t="s">
        <v>20</v>
      </c>
      <c r="H47" s="4">
        <v>8.3000000000000007</v>
      </c>
      <c r="I47" s="4">
        <v>10</v>
      </c>
      <c r="J47" s="4" t="s">
        <v>46</v>
      </c>
      <c r="K47" s="4">
        <v>1.78</v>
      </c>
      <c r="L47" s="4">
        <v>2.061E-2</v>
      </c>
      <c r="M47" s="4">
        <v>2.7120000000000002</v>
      </c>
      <c r="N47" s="4">
        <v>15.7</v>
      </c>
      <c r="O47" s="7" t="s">
        <v>215</v>
      </c>
      <c r="P47">
        <f>SUM(A47:O47)</f>
        <v>83.512610000000009</v>
      </c>
    </row>
    <row r="48" spans="1:16" ht="31.2">
      <c r="A48" s="4">
        <v>46</v>
      </c>
      <c r="B48" s="5" t="s">
        <v>216</v>
      </c>
      <c r="C48" s="5" t="s">
        <v>217</v>
      </c>
      <c r="D48" s="9" t="s">
        <v>172</v>
      </c>
      <c r="E48" s="4" t="s">
        <v>218</v>
      </c>
      <c r="F48" s="4" t="s">
        <v>219</v>
      </c>
      <c r="G48" s="4" t="s">
        <v>31</v>
      </c>
      <c r="H48" s="4">
        <v>5.0999999999999996</v>
      </c>
      <c r="I48" s="4" t="s">
        <v>25</v>
      </c>
      <c r="J48" s="4" t="s">
        <v>46</v>
      </c>
      <c r="K48" s="4">
        <v>1</v>
      </c>
      <c r="L48" s="4">
        <v>2.4499999999999999E-3</v>
      </c>
      <c r="M48" s="4" t="s">
        <v>25</v>
      </c>
      <c r="N48" s="4">
        <v>12.6</v>
      </c>
      <c r="O48" s="7" t="s">
        <v>220</v>
      </c>
      <c r="P48">
        <f>SUM(A48:O48)</f>
        <v>64.702449999999999</v>
      </c>
    </row>
    <row r="49" spans="1:16" ht="31.2">
      <c r="A49" s="4">
        <v>47</v>
      </c>
      <c r="B49" s="5" t="s">
        <v>221</v>
      </c>
      <c r="C49" s="5" t="s">
        <v>222</v>
      </c>
      <c r="D49" s="9" t="s">
        <v>172</v>
      </c>
      <c r="E49" s="4" t="s">
        <v>25</v>
      </c>
      <c r="F49" s="4" t="s">
        <v>223</v>
      </c>
      <c r="G49" s="4" t="s">
        <v>20</v>
      </c>
      <c r="H49" s="4">
        <v>50.6</v>
      </c>
      <c r="I49" s="4">
        <v>49.5</v>
      </c>
      <c r="J49" s="4" t="s">
        <v>46</v>
      </c>
      <c r="K49" s="4">
        <v>10.71</v>
      </c>
      <c r="L49" s="4">
        <v>3.6159999999999998E-2</v>
      </c>
      <c r="M49" s="4">
        <v>11.944000000000001</v>
      </c>
      <c r="N49" s="4">
        <v>98.7</v>
      </c>
      <c r="O49" s="7" t="s">
        <v>224</v>
      </c>
      <c r="P49">
        <f>SUM(A49:O49)</f>
        <v>268.49016</v>
      </c>
    </row>
    <row r="50" spans="1:16" ht="31.2" hidden="1">
      <c r="A50" s="4">
        <v>48</v>
      </c>
      <c r="B50" s="5" t="s">
        <v>225</v>
      </c>
      <c r="C50" s="5" t="s">
        <v>226</v>
      </c>
      <c r="D50" s="9" t="s">
        <v>172</v>
      </c>
      <c r="E50" s="4" t="s">
        <v>25</v>
      </c>
      <c r="F50" s="4" t="s">
        <v>227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7" t="s">
        <v>228</v>
      </c>
      <c r="P50">
        <f>SUM(A50:O50)</f>
        <v>48</v>
      </c>
    </row>
    <row r="51" spans="1:16" ht="31.2" hidden="1">
      <c r="A51" s="4">
        <v>49</v>
      </c>
      <c r="B51" s="5" t="s">
        <v>229</v>
      </c>
      <c r="C51" s="5" t="s">
        <v>230</v>
      </c>
      <c r="D51" s="9" t="s">
        <v>172</v>
      </c>
      <c r="E51" s="4" t="s">
        <v>231</v>
      </c>
      <c r="F51" s="4" t="s">
        <v>232</v>
      </c>
      <c r="G51" s="4" t="s">
        <v>20</v>
      </c>
      <c r="H51" s="4">
        <v>2</v>
      </c>
      <c r="I51" s="4">
        <v>2.2000000000000002</v>
      </c>
      <c r="J51" s="4" t="s">
        <v>32</v>
      </c>
      <c r="K51" s="4">
        <v>0.38</v>
      </c>
      <c r="L51" s="4">
        <v>7.5000000000000002E-4</v>
      </c>
      <c r="M51" s="4">
        <v>0.42799999999999999</v>
      </c>
      <c r="N51" s="4">
        <v>2.7</v>
      </c>
      <c r="O51" s="7" t="s">
        <v>233</v>
      </c>
      <c r="P51">
        <f>SUM(A51:O51)</f>
        <v>56.708750000000002</v>
      </c>
    </row>
    <row r="52" spans="1:16" ht="31.2" hidden="1">
      <c r="A52" s="4">
        <v>50</v>
      </c>
      <c r="B52" s="5" t="s">
        <v>234</v>
      </c>
      <c r="C52" s="5" t="s">
        <v>235</v>
      </c>
      <c r="D52" s="9" t="s">
        <v>172</v>
      </c>
      <c r="E52" s="4" t="s">
        <v>236</v>
      </c>
      <c r="F52" s="4" t="s">
        <v>237</v>
      </c>
      <c r="G52" s="4" t="s">
        <v>20</v>
      </c>
      <c r="H52" s="4">
        <v>2.1</v>
      </c>
      <c r="I52" s="4">
        <v>2.2000000000000002</v>
      </c>
      <c r="J52" s="4" t="s">
        <v>32</v>
      </c>
      <c r="K52" s="4">
        <v>0.53</v>
      </c>
      <c r="L52" s="4">
        <v>9.3000000000000005E-4</v>
      </c>
      <c r="M52" s="4">
        <v>0.40400000000000003</v>
      </c>
      <c r="N52" s="4">
        <v>3.4</v>
      </c>
      <c r="O52" s="7" t="s">
        <v>238</v>
      </c>
      <c r="P52">
        <f>SUM(A52:O52)</f>
        <v>58.634930000000004</v>
      </c>
    </row>
    <row r="53" spans="1:16" ht="31.2" hidden="1">
      <c r="A53" s="4">
        <v>51</v>
      </c>
      <c r="B53" s="5" t="s">
        <v>239</v>
      </c>
      <c r="C53" s="5" t="s">
        <v>240</v>
      </c>
      <c r="D53" s="9" t="s">
        <v>172</v>
      </c>
      <c r="E53" s="4" t="s">
        <v>25</v>
      </c>
      <c r="F53" s="4" t="s">
        <v>241</v>
      </c>
      <c r="G53" s="4" t="s">
        <v>31</v>
      </c>
      <c r="H53" s="4">
        <v>1.9</v>
      </c>
      <c r="I53" s="4">
        <v>2.2999999999999998</v>
      </c>
      <c r="J53" s="4" t="s">
        <v>32</v>
      </c>
      <c r="K53" s="4">
        <v>0.42</v>
      </c>
      <c r="L53" s="4">
        <v>1.6049999999999998E-2</v>
      </c>
      <c r="M53" s="4">
        <v>0.89100000000000001</v>
      </c>
      <c r="N53" s="4">
        <v>4.9000000000000004</v>
      </c>
      <c r="O53" s="7" t="s">
        <v>242</v>
      </c>
      <c r="P53">
        <f>SUM(A53:O53)</f>
        <v>61.427049999999994</v>
      </c>
    </row>
    <row r="54" spans="1:16" ht="31.2" hidden="1">
      <c r="A54" s="4">
        <v>52</v>
      </c>
      <c r="B54" s="5" t="s">
        <v>243</v>
      </c>
      <c r="C54" s="5" t="s">
        <v>244</v>
      </c>
      <c r="D54" s="9" t="s">
        <v>172</v>
      </c>
      <c r="E54" s="4" t="s">
        <v>245</v>
      </c>
      <c r="F54" s="4" t="s">
        <v>246</v>
      </c>
      <c r="G54" s="4" t="s">
        <v>20</v>
      </c>
      <c r="H54" s="4">
        <v>2</v>
      </c>
      <c r="I54" s="4">
        <v>2.5</v>
      </c>
      <c r="J54" s="4" t="s">
        <v>32</v>
      </c>
      <c r="K54" s="4">
        <v>0.35</v>
      </c>
      <c r="L54" s="4">
        <v>3.8999999999999999E-4</v>
      </c>
      <c r="M54" s="4">
        <v>0.53200000000000003</v>
      </c>
      <c r="N54" s="4">
        <v>3.6</v>
      </c>
      <c r="O54" s="7" t="s">
        <v>247</v>
      </c>
      <c r="P54">
        <f>SUM(A54:O54)</f>
        <v>60.982390000000002</v>
      </c>
    </row>
    <row r="55" spans="1:16" ht="31.2" hidden="1">
      <c r="A55" s="4">
        <v>53</v>
      </c>
      <c r="B55" s="5" t="s">
        <v>248</v>
      </c>
      <c r="C55" s="5" t="s">
        <v>249</v>
      </c>
      <c r="D55" s="9" t="s">
        <v>172</v>
      </c>
      <c r="E55" s="4" t="s">
        <v>250</v>
      </c>
      <c r="F55" s="4" t="s">
        <v>251</v>
      </c>
      <c r="G55" s="4" t="s">
        <v>20</v>
      </c>
      <c r="H55" s="4">
        <v>4.5999999999999996</v>
      </c>
      <c r="I55" s="4">
        <v>4.7</v>
      </c>
      <c r="J55" s="4" t="s">
        <v>21</v>
      </c>
      <c r="K55" s="4">
        <v>0.96</v>
      </c>
      <c r="L55" s="4">
        <v>1.7170000000000001E-2</v>
      </c>
      <c r="M55" s="4">
        <v>0.92600000000000005</v>
      </c>
      <c r="N55" s="4">
        <v>7.9</v>
      </c>
      <c r="O55" s="7" t="s">
        <v>252</v>
      </c>
      <c r="P55">
        <f>SUM(A55:O55)</f>
        <v>72.103170000000006</v>
      </c>
    </row>
    <row r="56" spans="1:16" ht="31.2" hidden="1">
      <c r="A56" s="4">
        <v>54</v>
      </c>
      <c r="B56" s="5" t="s">
        <v>253</v>
      </c>
      <c r="C56" s="5" t="s">
        <v>254</v>
      </c>
      <c r="D56" s="9" t="s">
        <v>172</v>
      </c>
      <c r="E56" s="4" t="s">
        <v>255</v>
      </c>
      <c r="F56" s="4" t="s">
        <v>256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7" t="s">
        <v>257</v>
      </c>
      <c r="P56">
        <f>SUM(A56:O56)</f>
        <v>54</v>
      </c>
    </row>
    <row r="57" spans="1:16" ht="31.2" hidden="1">
      <c r="A57" s="4">
        <v>55</v>
      </c>
      <c r="B57" s="5" t="s">
        <v>258</v>
      </c>
      <c r="C57" s="5" t="s">
        <v>259</v>
      </c>
      <c r="D57" s="9" t="s">
        <v>172</v>
      </c>
      <c r="E57" s="4" t="s">
        <v>260</v>
      </c>
      <c r="F57" s="4" t="s">
        <v>260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7" t="s">
        <v>261</v>
      </c>
      <c r="P57">
        <f>SUM(A57:O57)</f>
        <v>55</v>
      </c>
    </row>
    <row r="58" spans="1:16" ht="31.2" hidden="1">
      <c r="A58" s="4">
        <v>56</v>
      </c>
      <c r="B58" s="5" t="s">
        <v>262</v>
      </c>
      <c r="C58" s="5" t="s">
        <v>263</v>
      </c>
      <c r="D58" s="9" t="s">
        <v>172</v>
      </c>
      <c r="E58" s="4" t="s">
        <v>264</v>
      </c>
      <c r="F58" s="4" t="s">
        <v>265</v>
      </c>
      <c r="G58" s="4" t="s">
        <v>20</v>
      </c>
      <c r="H58" s="4">
        <v>1.7</v>
      </c>
      <c r="I58" s="4">
        <v>1.7</v>
      </c>
      <c r="J58" s="4" t="s">
        <v>185</v>
      </c>
      <c r="K58" s="4">
        <v>0.45</v>
      </c>
      <c r="L58" s="4">
        <v>8.1999999999999998E-4</v>
      </c>
      <c r="M58" s="4">
        <v>0.32600000000000001</v>
      </c>
      <c r="N58" s="4">
        <v>4.0999999999999996</v>
      </c>
      <c r="O58" s="7" t="s">
        <v>266</v>
      </c>
      <c r="P58">
        <f>SUM(A58:O58)</f>
        <v>64.276820000000001</v>
      </c>
    </row>
    <row r="59" spans="1:16" ht="31.2" hidden="1">
      <c r="A59" s="4">
        <v>57</v>
      </c>
      <c r="B59" s="5" t="s">
        <v>267</v>
      </c>
      <c r="C59" s="5" t="s">
        <v>268</v>
      </c>
      <c r="D59" s="9" t="s">
        <v>172</v>
      </c>
      <c r="E59" s="4" t="s">
        <v>269</v>
      </c>
      <c r="F59" s="4" t="s">
        <v>270</v>
      </c>
      <c r="G59" s="4" t="s">
        <v>31</v>
      </c>
      <c r="H59" s="4">
        <v>4.4000000000000004</v>
      </c>
      <c r="I59" s="4" t="s">
        <v>25</v>
      </c>
      <c r="J59" s="4" t="s">
        <v>21</v>
      </c>
      <c r="K59" s="4">
        <v>0.66</v>
      </c>
      <c r="L59" s="4">
        <v>1.0300000000000001E-3</v>
      </c>
      <c r="M59" s="4" t="s">
        <v>25</v>
      </c>
      <c r="N59" s="4">
        <v>6.5</v>
      </c>
      <c r="O59" s="7" t="s">
        <v>271</v>
      </c>
      <c r="P59">
        <f>SUM(A59:O59)</f>
        <v>68.561029999999988</v>
      </c>
    </row>
    <row r="60" spans="1:16" ht="31.2" hidden="1">
      <c r="A60" s="4">
        <v>58</v>
      </c>
      <c r="B60" s="5" t="s">
        <v>272</v>
      </c>
      <c r="C60" s="5" t="s">
        <v>273</v>
      </c>
      <c r="D60" s="9" t="s">
        <v>172</v>
      </c>
      <c r="E60" s="4" t="s">
        <v>274</v>
      </c>
      <c r="F60" s="4" t="s">
        <v>275</v>
      </c>
      <c r="G60" s="4" t="s">
        <v>20</v>
      </c>
      <c r="H60" s="4">
        <v>4.8</v>
      </c>
      <c r="I60" s="4">
        <v>4.8</v>
      </c>
      <c r="J60" s="4" t="s">
        <v>21</v>
      </c>
      <c r="K60" s="4">
        <v>0.95</v>
      </c>
      <c r="L60" s="4">
        <v>4.02E-2</v>
      </c>
      <c r="M60" s="4">
        <v>1.1319999999999999</v>
      </c>
      <c r="N60" s="4">
        <v>11.1</v>
      </c>
      <c r="O60" s="7" t="s">
        <v>276</v>
      </c>
      <c r="P60">
        <f>SUM(A60:O60)</f>
        <v>80.822199999999995</v>
      </c>
    </row>
    <row r="61" spans="1:16" ht="31.2">
      <c r="A61" s="4">
        <v>59</v>
      </c>
      <c r="B61" s="5" t="s">
        <v>277</v>
      </c>
      <c r="C61" s="5" t="s">
        <v>278</v>
      </c>
      <c r="D61" s="9" t="s">
        <v>172</v>
      </c>
      <c r="E61" s="4" t="s">
        <v>279</v>
      </c>
      <c r="F61" s="4" t="s">
        <v>280</v>
      </c>
      <c r="G61" s="4" t="s">
        <v>20</v>
      </c>
      <c r="H61" s="4">
        <v>13.7</v>
      </c>
      <c r="I61" s="4">
        <v>18.7</v>
      </c>
      <c r="J61" s="4" t="s">
        <v>46</v>
      </c>
      <c r="K61" s="4">
        <v>3.11</v>
      </c>
      <c r="L61" s="4">
        <v>7.6099999999999996E-3</v>
      </c>
      <c r="M61" s="4">
        <v>5.0780000000000003</v>
      </c>
      <c r="N61" s="4">
        <v>27</v>
      </c>
      <c r="O61" s="7" t="s">
        <v>281</v>
      </c>
      <c r="P61">
        <f>SUM(A61:O61)</f>
        <v>126.59561000000001</v>
      </c>
    </row>
    <row r="62" spans="1:16" ht="31.2" hidden="1">
      <c r="A62" s="4">
        <v>60</v>
      </c>
      <c r="B62" s="5" t="s">
        <v>282</v>
      </c>
      <c r="C62" s="5" t="s">
        <v>283</v>
      </c>
      <c r="D62" s="9" t="s">
        <v>172</v>
      </c>
      <c r="E62" s="4" t="s">
        <v>284</v>
      </c>
      <c r="F62" s="4" t="s">
        <v>285</v>
      </c>
      <c r="G62" s="4" t="s">
        <v>20</v>
      </c>
      <c r="H62" s="4">
        <v>0.9</v>
      </c>
      <c r="I62" s="4">
        <v>0.8</v>
      </c>
      <c r="J62" s="4" t="s">
        <v>185</v>
      </c>
      <c r="K62" s="4">
        <v>0.14000000000000001</v>
      </c>
      <c r="L62" s="4">
        <v>2.5999999999999998E-4</v>
      </c>
      <c r="M62" s="4">
        <v>0.158</v>
      </c>
      <c r="N62" s="4">
        <v>2</v>
      </c>
      <c r="O62" s="7" t="s">
        <v>286</v>
      </c>
      <c r="P62">
        <f>SUM(A62:O62)</f>
        <v>63.998259999999995</v>
      </c>
    </row>
    <row r="63" spans="1:16" ht="31.2" hidden="1">
      <c r="A63" s="4">
        <v>61</v>
      </c>
      <c r="B63" s="5" t="s">
        <v>287</v>
      </c>
      <c r="C63" s="5" t="s">
        <v>288</v>
      </c>
      <c r="D63" s="9" t="s">
        <v>172</v>
      </c>
      <c r="E63" s="4" t="s">
        <v>289</v>
      </c>
      <c r="F63" s="4" t="s">
        <v>290</v>
      </c>
      <c r="G63" s="4" t="s">
        <v>20</v>
      </c>
      <c r="H63" s="4">
        <v>1.7</v>
      </c>
      <c r="I63" s="4">
        <v>2</v>
      </c>
      <c r="J63" s="4" t="s">
        <v>32</v>
      </c>
      <c r="K63" s="4">
        <v>0.34</v>
      </c>
      <c r="L63" s="4">
        <v>9.3000000000000005E-4</v>
      </c>
      <c r="M63" s="4">
        <v>0.33200000000000002</v>
      </c>
      <c r="N63" s="4">
        <v>3.2</v>
      </c>
      <c r="O63" s="7" t="s">
        <v>291</v>
      </c>
      <c r="P63">
        <f>SUM(A63:O63)</f>
        <v>68.572929999999999</v>
      </c>
    </row>
    <row r="64" spans="1:16" ht="31.2" hidden="1">
      <c r="A64" s="4">
        <v>62</v>
      </c>
      <c r="B64" s="5" t="s">
        <v>292</v>
      </c>
      <c r="C64" s="5" t="s">
        <v>293</v>
      </c>
      <c r="D64" s="9" t="s">
        <v>172</v>
      </c>
      <c r="E64" s="4" t="s">
        <v>294</v>
      </c>
      <c r="F64" s="4" t="s">
        <v>295</v>
      </c>
      <c r="G64" s="4" t="s">
        <v>20</v>
      </c>
      <c r="H64" s="4">
        <v>4.5</v>
      </c>
      <c r="I64" s="4">
        <v>5.7</v>
      </c>
      <c r="J64" s="4" t="s">
        <v>21</v>
      </c>
      <c r="K64" s="4">
        <v>0.88</v>
      </c>
      <c r="L64" s="4">
        <v>2.7499999999999998E-3</v>
      </c>
      <c r="M64" s="4">
        <v>1.339</v>
      </c>
      <c r="N64" s="4">
        <v>11.7</v>
      </c>
      <c r="O64" s="7" t="s">
        <v>296</v>
      </c>
      <c r="P64">
        <f>SUM(A64:O64)</f>
        <v>86.121750000000006</v>
      </c>
    </row>
    <row r="65" spans="1:16" ht="31.2" hidden="1">
      <c r="A65" s="4">
        <v>63</v>
      </c>
      <c r="B65" s="5" t="s">
        <v>297</v>
      </c>
      <c r="C65" s="5" t="s">
        <v>298</v>
      </c>
      <c r="D65" s="9" t="s">
        <v>172</v>
      </c>
      <c r="E65" s="4" t="s">
        <v>299</v>
      </c>
      <c r="F65" s="4" t="s">
        <v>300</v>
      </c>
      <c r="G65" s="4" t="s">
        <v>20</v>
      </c>
      <c r="H65" s="4">
        <v>3.3</v>
      </c>
      <c r="I65" s="4">
        <v>3.7</v>
      </c>
      <c r="J65" s="4" t="s">
        <v>21</v>
      </c>
      <c r="K65" s="4">
        <v>1.1100000000000001</v>
      </c>
      <c r="L65" s="4">
        <v>1.1999999999999999E-3</v>
      </c>
      <c r="M65" s="4">
        <v>0.70399999999999996</v>
      </c>
      <c r="N65" s="4">
        <v>9.4</v>
      </c>
      <c r="O65" s="7" t="s">
        <v>301</v>
      </c>
      <c r="P65">
        <f>SUM(A65:O65)</f>
        <v>81.215199999999996</v>
      </c>
    </row>
    <row r="66" spans="1:16" ht="31.2">
      <c r="A66" s="4">
        <v>64</v>
      </c>
      <c r="B66" s="5" t="s">
        <v>302</v>
      </c>
      <c r="C66" s="5" t="s">
        <v>303</v>
      </c>
      <c r="D66" s="9" t="s">
        <v>172</v>
      </c>
      <c r="E66" s="4" t="s">
        <v>304</v>
      </c>
      <c r="F66" s="4" t="s">
        <v>304</v>
      </c>
      <c r="G66" s="4" t="s">
        <v>20</v>
      </c>
      <c r="H66" s="4">
        <v>8.6999999999999993</v>
      </c>
      <c r="I66" s="4">
        <v>9.1</v>
      </c>
      <c r="J66" s="4" t="s">
        <v>46</v>
      </c>
      <c r="K66" s="4">
        <v>1.93</v>
      </c>
      <c r="L66" s="4">
        <v>0.11441</v>
      </c>
      <c r="M66" s="4">
        <v>1.6990000000000001</v>
      </c>
      <c r="N66" s="4">
        <v>14.7</v>
      </c>
      <c r="O66" s="7" t="s">
        <v>305</v>
      </c>
      <c r="P66">
        <f>SUM(A66:O66)</f>
        <v>100.24341000000001</v>
      </c>
    </row>
    <row r="67" spans="1:16" ht="31.2">
      <c r="A67" s="4">
        <v>65</v>
      </c>
      <c r="B67" s="5" t="s">
        <v>306</v>
      </c>
      <c r="C67" s="5" t="s">
        <v>307</v>
      </c>
      <c r="D67" s="9" t="s">
        <v>172</v>
      </c>
      <c r="E67" s="4" t="s">
        <v>308</v>
      </c>
      <c r="F67" s="4" t="s">
        <v>309</v>
      </c>
      <c r="G67" s="4" t="s">
        <v>31</v>
      </c>
      <c r="H67" s="4">
        <v>5.8</v>
      </c>
      <c r="I67" s="4" t="s">
        <v>25</v>
      </c>
      <c r="J67" s="4" t="s">
        <v>46</v>
      </c>
      <c r="K67" s="4">
        <v>1.23</v>
      </c>
      <c r="L67" s="4">
        <v>3.0799999999999998E-3</v>
      </c>
      <c r="M67" s="4" t="s">
        <v>25</v>
      </c>
      <c r="N67" s="4">
        <v>9.6999999999999993</v>
      </c>
      <c r="O67" s="7" t="s">
        <v>310</v>
      </c>
      <c r="P67">
        <f>SUM(A67:O67)</f>
        <v>81.733080000000001</v>
      </c>
    </row>
    <row r="68" spans="1:16" ht="31.2">
      <c r="A68" s="4">
        <v>66</v>
      </c>
      <c r="B68" s="5" t="s">
        <v>311</v>
      </c>
      <c r="C68" s="5" t="s">
        <v>312</v>
      </c>
      <c r="D68" s="9" t="s">
        <v>172</v>
      </c>
      <c r="E68" s="4" t="s">
        <v>313</v>
      </c>
      <c r="F68" s="4" t="s">
        <v>314</v>
      </c>
      <c r="G68" s="4" t="s">
        <v>20</v>
      </c>
      <c r="H68" s="4">
        <v>7.7</v>
      </c>
      <c r="I68" s="4">
        <v>8</v>
      </c>
      <c r="J68" s="4" t="s">
        <v>46</v>
      </c>
      <c r="K68" s="4">
        <v>1.77</v>
      </c>
      <c r="L68" s="4">
        <v>3.117E-2</v>
      </c>
      <c r="M68" s="4">
        <v>1.6319999999999999</v>
      </c>
      <c r="N68" s="4">
        <v>14.3</v>
      </c>
      <c r="O68" s="7" t="s">
        <v>315</v>
      </c>
      <c r="P68">
        <f>SUM(A68:O68)</f>
        <v>99.433170000000004</v>
      </c>
    </row>
    <row r="69" spans="1:16" ht="46.8" hidden="1">
      <c r="A69" s="4">
        <v>67</v>
      </c>
      <c r="B69" s="5" t="s">
        <v>316</v>
      </c>
      <c r="C69" s="5" t="s">
        <v>317</v>
      </c>
      <c r="D69" s="9" t="s">
        <v>172</v>
      </c>
      <c r="E69" s="4" t="s">
        <v>318</v>
      </c>
      <c r="F69" s="4" t="s">
        <v>319</v>
      </c>
      <c r="G69" s="4" t="s">
        <v>31</v>
      </c>
      <c r="H69" s="4">
        <v>2.4</v>
      </c>
      <c r="I69" s="4">
        <v>2.9</v>
      </c>
      <c r="J69" s="4" t="s">
        <v>32</v>
      </c>
      <c r="K69" s="4">
        <v>0.57999999999999996</v>
      </c>
      <c r="L69" s="4">
        <v>1.23E-3</v>
      </c>
      <c r="M69" s="4">
        <v>0.58199999999999996</v>
      </c>
      <c r="N69" s="4">
        <v>7.4</v>
      </c>
      <c r="O69" s="7" t="s">
        <v>320</v>
      </c>
      <c r="P69">
        <f>SUM(A69:O69)</f>
        <v>80.863230000000016</v>
      </c>
    </row>
    <row r="70" spans="1:16" ht="46.8" hidden="1">
      <c r="A70" s="4">
        <v>68</v>
      </c>
      <c r="B70" s="5" t="s">
        <v>321</v>
      </c>
      <c r="C70" s="5" t="s">
        <v>322</v>
      </c>
      <c r="D70" s="9" t="s">
        <v>172</v>
      </c>
      <c r="E70" s="4" t="s">
        <v>323</v>
      </c>
      <c r="F70" s="4" t="s">
        <v>324</v>
      </c>
      <c r="G70" s="4" t="s">
        <v>31</v>
      </c>
      <c r="H70" s="4">
        <v>4.9000000000000004</v>
      </c>
      <c r="I70" s="4">
        <v>4.5999999999999996</v>
      </c>
      <c r="J70" s="4" t="s">
        <v>21</v>
      </c>
      <c r="K70" s="4">
        <v>1.03</v>
      </c>
      <c r="L70" s="4">
        <v>3.81E-3</v>
      </c>
      <c r="M70" s="4">
        <v>1.0580000000000001</v>
      </c>
      <c r="N70" s="4">
        <v>9.4</v>
      </c>
      <c r="O70" s="7" t="s">
        <v>325</v>
      </c>
      <c r="P70">
        <f>SUM(A70:O70)</f>
        <v>88.991810000000015</v>
      </c>
    </row>
    <row r="71" spans="1:16" ht="46.8">
      <c r="A71" s="4">
        <v>69</v>
      </c>
      <c r="B71" s="5" t="s">
        <v>326</v>
      </c>
      <c r="C71" s="5" t="s">
        <v>327</v>
      </c>
      <c r="D71" s="9" t="s">
        <v>172</v>
      </c>
      <c r="E71" s="4" t="s">
        <v>328</v>
      </c>
      <c r="F71" s="4" t="s">
        <v>329</v>
      </c>
      <c r="G71" s="4" t="s">
        <v>20</v>
      </c>
      <c r="H71" s="4">
        <v>5.7</v>
      </c>
      <c r="I71" s="4">
        <v>5.9</v>
      </c>
      <c r="J71" s="4" t="s">
        <v>46</v>
      </c>
      <c r="K71" s="4">
        <v>1.22</v>
      </c>
      <c r="L71" s="4">
        <v>3.0249999999999999E-2</v>
      </c>
      <c r="M71" s="4">
        <v>1.5449999999999999</v>
      </c>
      <c r="N71" s="4">
        <v>12.3</v>
      </c>
      <c r="O71" s="7" t="s">
        <v>330</v>
      </c>
      <c r="P71">
        <f>SUM(A71:O71)</f>
        <v>95.695250000000001</v>
      </c>
    </row>
    <row r="72" spans="1:16" ht="31.2">
      <c r="A72" s="4">
        <v>70</v>
      </c>
      <c r="B72" s="5" t="s">
        <v>331</v>
      </c>
      <c r="C72" s="5" t="s">
        <v>332</v>
      </c>
      <c r="D72" s="9" t="s">
        <v>172</v>
      </c>
      <c r="E72" s="4" t="s">
        <v>333</v>
      </c>
      <c r="F72" s="4" t="s">
        <v>334</v>
      </c>
      <c r="G72" s="4" t="s">
        <v>20</v>
      </c>
      <c r="H72" s="4">
        <v>5.6</v>
      </c>
      <c r="I72" s="4">
        <v>5.6</v>
      </c>
      <c r="J72" s="4" t="s">
        <v>46</v>
      </c>
      <c r="K72" s="4">
        <v>1.1399999999999999</v>
      </c>
      <c r="L72" s="4">
        <v>5.0400000000000002E-3</v>
      </c>
      <c r="M72" s="4">
        <v>1.169</v>
      </c>
      <c r="N72" s="4">
        <v>8.6</v>
      </c>
      <c r="O72" s="7" t="s">
        <v>335</v>
      </c>
      <c r="P72">
        <f>SUM(A72:O72)</f>
        <v>92.114039999999974</v>
      </c>
    </row>
    <row r="73" spans="1:16" ht="31.2" hidden="1">
      <c r="A73" s="4">
        <v>71</v>
      </c>
      <c r="B73" s="5" t="s">
        <v>336</v>
      </c>
      <c r="C73" s="5" t="s">
        <v>337</v>
      </c>
      <c r="D73" s="9" t="s">
        <v>172</v>
      </c>
      <c r="E73" s="4" t="s">
        <v>338</v>
      </c>
      <c r="F73" s="4" t="s">
        <v>339</v>
      </c>
      <c r="G73" s="4" t="s">
        <v>20</v>
      </c>
      <c r="H73" s="4">
        <v>3.7</v>
      </c>
      <c r="I73" s="4">
        <v>3.2</v>
      </c>
      <c r="J73" s="4" t="s">
        <v>32</v>
      </c>
      <c r="K73" s="4">
        <v>0.53</v>
      </c>
      <c r="L73" s="4">
        <v>3.7799999999999999E-3</v>
      </c>
      <c r="M73" s="4">
        <v>0.56899999999999995</v>
      </c>
      <c r="N73" s="4">
        <v>7.2</v>
      </c>
      <c r="O73" s="7" t="s">
        <v>340</v>
      </c>
      <c r="P73">
        <f>SUM(A73:O73)</f>
        <v>86.202780000000018</v>
      </c>
    </row>
    <row r="74" spans="1:16" ht="31.2" hidden="1">
      <c r="A74" s="4">
        <v>72</v>
      </c>
      <c r="B74" s="5" t="s">
        <v>341</v>
      </c>
      <c r="C74" s="5" t="s">
        <v>342</v>
      </c>
      <c r="D74" s="9" t="s">
        <v>172</v>
      </c>
      <c r="E74" s="4" t="s">
        <v>343</v>
      </c>
      <c r="F74" s="4" t="s">
        <v>344</v>
      </c>
      <c r="G74" s="4" t="s">
        <v>20</v>
      </c>
      <c r="H74" s="4">
        <v>1.9</v>
      </c>
      <c r="I74" s="4">
        <v>1.9</v>
      </c>
      <c r="J74" s="4" t="s">
        <v>32</v>
      </c>
      <c r="K74" s="4">
        <v>0.48</v>
      </c>
      <c r="L74" s="4">
        <v>1.14E-3</v>
      </c>
      <c r="M74" s="4">
        <v>0.36699999999999999</v>
      </c>
      <c r="N74" s="4">
        <v>4.2</v>
      </c>
      <c r="O74" s="7" t="s">
        <v>345</v>
      </c>
      <c r="P74">
        <f>SUM(A74:O74)</f>
        <v>80.848140000000029</v>
      </c>
    </row>
    <row r="75" spans="1:16" ht="31.2" hidden="1">
      <c r="A75" s="4">
        <v>73</v>
      </c>
      <c r="B75" s="5" t="s">
        <v>346</v>
      </c>
      <c r="C75" s="5" t="s">
        <v>347</v>
      </c>
      <c r="D75" s="9" t="s">
        <v>172</v>
      </c>
      <c r="E75" s="4" t="s">
        <v>25</v>
      </c>
      <c r="F75" s="4" t="s">
        <v>348</v>
      </c>
      <c r="G75" s="4" t="s">
        <v>31</v>
      </c>
      <c r="H75" s="4">
        <v>3.7</v>
      </c>
      <c r="I75" s="4">
        <v>3.5</v>
      </c>
      <c r="J75" s="4" t="s">
        <v>21</v>
      </c>
      <c r="K75" s="4">
        <v>0.75</v>
      </c>
      <c r="L75" s="4">
        <v>1.6000000000000001E-3</v>
      </c>
      <c r="M75" s="4">
        <v>0.55600000000000005</v>
      </c>
      <c r="N75" s="4">
        <v>8.4</v>
      </c>
      <c r="O75" s="7" t="s">
        <v>349</v>
      </c>
      <c r="P75">
        <f>SUM(A75:O75)</f>
        <v>89.907600000000002</v>
      </c>
    </row>
    <row r="76" spans="1:16" ht="31.2" hidden="1">
      <c r="A76" s="4">
        <v>74</v>
      </c>
      <c r="B76" s="5" t="s">
        <v>350</v>
      </c>
      <c r="C76" s="5" t="s">
        <v>351</v>
      </c>
      <c r="D76" s="9" t="s">
        <v>172</v>
      </c>
      <c r="E76" s="4" t="s">
        <v>352</v>
      </c>
      <c r="F76" s="4" t="s">
        <v>353</v>
      </c>
      <c r="G76" s="4" t="s">
        <v>20</v>
      </c>
      <c r="H76" s="4">
        <v>4.5</v>
      </c>
      <c r="I76" s="4">
        <v>4.7</v>
      </c>
      <c r="J76" s="4" t="s">
        <v>21</v>
      </c>
      <c r="K76" s="4">
        <v>1.1399999999999999</v>
      </c>
      <c r="L76" s="4">
        <v>6.1700000000000001E-3</v>
      </c>
      <c r="M76" s="4">
        <v>1.032</v>
      </c>
      <c r="N76" s="4">
        <v>10.5</v>
      </c>
      <c r="O76" s="7" t="s">
        <v>354</v>
      </c>
      <c r="P76">
        <f>SUM(A76:O76)</f>
        <v>95.878169999999997</v>
      </c>
    </row>
    <row r="77" spans="1:16" ht="31.2">
      <c r="A77" s="4">
        <v>75</v>
      </c>
      <c r="B77" s="5" t="s">
        <v>355</v>
      </c>
      <c r="C77" s="5" t="s">
        <v>356</v>
      </c>
      <c r="D77" s="9" t="s">
        <v>172</v>
      </c>
      <c r="E77" s="4" t="s">
        <v>357</v>
      </c>
      <c r="F77" s="4" t="s">
        <v>358</v>
      </c>
      <c r="G77" s="4" t="s">
        <v>20</v>
      </c>
      <c r="H77" s="4">
        <v>8.5</v>
      </c>
      <c r="I77" s="4">
        <v>11.6</v>
      </c>
      <c r="J77" s="4" t="s">
        <v>46</v>
      </c>
      <c r="K77" s="4">
        <v>2.4300000000000002</v>
      </c>
      <c r="L77" s="4">
        <v>1.2239999999999999E-2</v>
      </c>
      <c r="M77" s="4">
        <v>3.1920000000000002</v>
      </c>
      <c r="N77" s="4">
        <v>23.6</v>
      </c>
      <c r="O77" s="7" t="s">
        <v>359</v>
      </c>
      <c r="P77">
        <f>SUM(A77:O77)</f>
        <v>124.33423999999999</v>
      </c>
    </row>
    <row r="78" spans="1:16" ht="31.2">
      <c r="A78" s="4">
        <v>76</v>
      </c>
      <c r="B78" s="5" t="s">
        <v>360</v>
      </c>
      <c r="C78" s="5" t="s">
        <v>361</v>
      </c>
      <c r="D78" s="9" t="s">
        <v>172</v>
      </c>
      <c r="E78" s="4" t="s">
        <v>362</v>
      </c>
      <c r="F78" s="4" t="s">
        <v>363</v>
      </c>
      <c r="G78" s="4" t="s">
        <v>20</v>
      </c>
      <c r="H78" s="4">
        <v>5.6</v>
      </c>
      <c r="I78" s="4">
        <v>6.8</v>
      </c>
      <c r="J78" s="4" t="s">
        <v>46</v>
      </c>
      <c r="K78" s="4">
        <v>1.1100000000000001</v>
      </c>
      <c r="L78" s="4">
        <v>2.538E-2</v>
      </c>
      <c r="M78" s="4">
        <v>1.972</v>
      </c>
      <c r="N78" s="4">
        <v>12.1</v>
      </c>
      <c r="O78" s="7" t="s">
        <v>364</v>
      </c>
      <c r="P78">
        <f>SUM(A78:O78)</f>
        <v>103.60737999999998</v>
      </c>
    </row>
    <row r="79" spans="1:16" ht="46.8" hidden="1">
      <c r="A79" s="4">
        <v>77</v>
      </c>
      <c r="B79" s="5" t="s">
        <v>365</v>
      </c>
      <c r="C79" s="5" t="s">
        <v>366</v>
      </c>
      <c r="D79" s="9" t="s">
        <v>172</v>
      </c>
      <c r="E79" s="4" t="s">
        <v>367</v>
      </c>
      <c r="F79" s="4" t="s">
        <v>368</v>
      </c>
      <c r="G79" s="4" t="s">
        <v>20</v>
      </c>
      <c r="H79" s="4">
        <v>3.8</v>
      </c>
      <c r="I79" s="4">
        <v>4.5999999999999996</v>
      </c>
      <c r="J79" s="4" t="s">
        <v>21</v>
      </c>
      <c r="K79" s="4">
        <v>0.92</v>
      </c>
      <c r="L79" s="4">
        <v>3.13E-3</v>
      </c>
      <c r="M79" s="4">
        <v>1.1659999999999999</v>
      </c>
      <c r="N79" s="4">
        <v>10.4</v>
      </c>
      <c r="O79" s="7" t="s">
        <v>369</v>
      </c>
      <c r="P79">
        <f>SUM(A79:O79)</f>
        <v>97.889129999999994</v>
      </c>
    </row>
    <row r="80" spans="1:16" ht="31.2" hidden="1">
      <c r="A80" s="4">
        <v>78</v>
      </c>
      <c r="B80" s="5" t="s">
        <v>370</v>
      </c>
      <c r="C80" s="5" t="s">
        <v>371</v>
      </c>
      <c r="D80" s="9" t="s">
        <v>172</v>
      </c>
      <c r="E80" s="4" t="s">
        <v>25</v>
      </c>
      <c r="F80" s="4" t="s">
        <v>372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>
        <v>5.4</v>
      </c>
      <c r="O80" s="7" t="s">
        <v>373</v>
      </c>
      <c r="P80">
        <f>SUM(A80:O80)</f>
        <v>83.4</v>
      </c>
    </row>
    <row r="81" spans="1:16" ht="31.2" hidden="1">
      <c r="A81" s="4">
        <v>79</v>
      </c>
      <c r="B81" s="5" t="s">
        <v>374</v>
      </c>
      <c r="C81" s="5" t="s">
        <v>375</v>
      </c>
      <c r="D81" s="9" t="s">
        <v>172</v>
      </c>
      <c r="E81" s="4" t="s">
        <v>25</v>
      </c>
      <c r="F81" s="4" t="s">
        <v>376</v>
      </c>
      <c r="G81" s="4" t="s">
        <v>31</v>
      </c>
      <c r="H81" s="4">
        <v>2.6</v>
      </c>
      <c r="I81" s="4">
        <v>2.6</v>
      </c>
      <c r="J81" s="4" t="s">
        <v>21</v>
      </c>
      <c r="K81" s="4">
        <v>0.57999999999999996</v>
      </c>
      <c r="L81" s="4">
        <v>6.0999999999999997E-4</v>
      </c>
      <c r="M81" s="4">
        <v>0.51</v>
      </c>
      <c r="N81" s="4">
        <v>5.0999999999999996</v>
      </c>
      <c r="O81" s="7" t="s">
        <v>377</v>
      </c>
      <c r="P81">
        <f>SUM(A81:O81)</f>
        <v>90.390609999999981</v>
      </c>
    </row>
    <row r="82" spans="1:16" ht="46.8" hidden="1">
      <c r="A82" s="4">
        <v>80</v>
      </c>
      <c r="B82" s="5" t="s">
        <v>378</v>
      </c>
      <c r="C82" s="5" t="s">
        <v>379</v>
      </c>
      <c r="D82" s="9" t="s">
        <v>172</v>
      </c>
      <c r="E82" s="4" t="s">
        <v>25</v>
      </c>
      <c r="F82" s="4" t="s">
        <v>380</v>
      </c>
      <c r="G82" s="4" t="s">
        <v>31</v>
      </c>
      <c r="H82" s="4">
        <v>2.1</v>
      </c>
      <c r="I82" s="4">
        <v>2</v>
      </c>
      <c r="J82" s="4" t="s">
        <v>32</v>
      </c>
      <c r="K82" s="4">
        <v>0.47</v>
      </c>
      <c r="L82" s="4">
        <v>6.9999999999999999E-4</v>
      </c>
      <c r="M82" s="4">
        <v>0.56000000000000005</v>
      </c>
      <c r="N82" s="4">
        <v>3.3</v>
      </c>
      <c r="O82" s="7" t="s">
        <v>381</v>
      </c>
      <c r="P82">
        <f>SUM(A82:O82)</f>
        <v>88.430699999999987</v>
      </c>
    </row>
    <row r="83" spans="1:16" ht="31.2">
      <c r="A83" s="4">
        <v>81</v>
      </c>
      <c r="B83" s="5" t="s">
        <v>382</v>
      </c>
      <c r="C83" s="5" t="s">
        <v>383</v>
      </c>
      <c r="D83" s="9" t="s">
        <v>172</v>
      </c>
      <c r="E83" s="4" t="s">
        <v>384</v>
      </c>
      <c r="F83" s="4" t="s">
        <v>385</v>
      </c>
      <c r="G83" s="4" t="s">
        <v>20</v>
      </c>
      <c r="H83" s="4">
        <v>16.8</v>
      </c>
      <c r="I83" s="4">
        <v>17.7</v>
      </c>
      <c r="J83" s="4" t="s">
        <v>46</v>
      </c>
      <c r="K83" s="4">
        <v>3.52</v>
      </c>
      <c r="L83" s="4">
        <v>4.4819999999999999E-2</v>
      </c>
      <c r="M83" s="4">
        <v>5.0060000000000002</v>
      </c>
      <c r="N83" s="4">
        <v>32.799999999999997</v>
      </c>
      <c r="O83" s="7" t="s">
        <v>386</v>
      </c>
      <c r="P83">
        <f>SUM(A83:O83)</f>
        <v>156.87081999999998</v>
      </c>
    </row>
    <row r="84" spans="1:16" ht="31.2" hidden="1">
      <c r="A84" s="4">
        <v>82</v>
      </c>
      <c r="B84" s="5" t="s">
        <v>387</v>
      </c>
      <c r="C84" s="5" t="s">
        <v>388</v>
      </c>
      <c r="D84" s="9" t="s">
        <v>172</v>
      </c>
      <c r="E84" s="4" t="s">
        <v>25</v>
      </c>
      <c r="F84" s="4" t="s">
        <v>389</v>
      </c>
      <c r="G84" s="4" t="s">
        <v>31</v>
      </c>
      <c r="H84" s="4">
        <v>2.2999999999999998</v>
      </c>
      <c r="I84" s="4">
        <v>3.6</v>
      </c>
      <c r="J84" s="4" t="s">
        <v>32</v>
      </c>
      <c r="K84" s="4">
        <v>0.6</v>
      </c>
      <c r="L84" s="4">
        <v>3.7599999999999999E-3</v>
      </c>
      <c r="M84" s="4">
        <v>1.5069999999999999</v>
      </c>
      <c r="N84" s="4">
        <v>6.7</v>
      </c>
      <c r="O84" s="7" t="s">
        <v>390</v>
      </c>
      <c r="P84">
        <f>SUM(A84:O84)</f>
        <v>96.710759999999993</v>
      </c>
    </row>
    <row r="85" spans="1:16" ht="31.2">
      <c r="A85" s="4">
        <v>83</v>
      </c>
      <c r="B85" s="5" t="s">
        <v>391</v>
      </c>
      <c r="C85" s="5" t="s">
        <v>392</v>
      </c>
      <c r="D85" s="9" t="s">
        <v>172</v>
      </c>
      <c r="E85" s="4" t="s">
        <v>393</v>
      </c>
      <c r="F85" s="4" t="s">
        <v>25</v>
      </c>
      <c r="G85" s="4" t="s">
        <v>20</v>
      </c>
      <c r="H85" s="4">
        <v>5.2</v>
      </c>
      <c r="I85" s="4">
        <v>6</v>
      </c>
      <c r="J85" s="4" t="s">
        <v>46</v>
      </c>
      <c r="K85" s="4">
        <v>1.29</v>
      </c>
      <c r="L85" s="4">
        <v>1.018E-2</v>
      </c>
      <c r="M85" s="4">
        <v>0.91100000000000003</v>
      </c>
      <c r="N85" s="4" t="s">
        <v>25</v>
      </c>
      <c r="O85" s="7" t="s">
        <v>394</v>
      </c>
      <c r="P85">
        <f>SUM(A85:O85)</f>
        <v>96.411180000000016</v>
      </c>
    </row>
    <row r="86" spans="1:16" ht="46.8" hidden="1">
      <c r="A86" s="4">
        <v>84</v>
      </c>
      <c r="B86" s="5" t="s">
        <v>395</v>
      </c>
      <c r="C86" s="5" t="s">
        <v>396</v>
      </c>
      <c r="D86" s="9" t="s">
        <v>172</v>
      </c>
      <c r="E86" s="4" t="s">
        <v>25</v>
      </c>
      <c r="F86" s="4" t="s">
        <v>397</v>
      </c>
      <c r="G86" s="4" t="s">
        <v>31</v>
      </c>
      <c r="H86" s="4">
        <v>1.4</v>
      </c>
      <c r="I86" s="4">
        <v>1.3</v>
      </c>
      <c r="J86" s="4" t="s">
        <v>185</v>
      </c>
      <c r="K86" s="4">
        <v>0.3</v>
      </c>
      <c r="L86" s="4">
        <v>3.1E-4</v>
      </c>
      <c r="M86" s="4">
        <v>0.314</v>
      </c>
      <c r="N86" s="4" t="s">
        <v>25</v>
      </c>
      <c r="O86" s="7" t="s">
        <v>398</v>
      </c>
      <c r="P86">
        <f>SUM(A86:O86)</f>
        <v>87.314309999999992</v>
      </c>
    </row>
    <row r="87" spans="1:16" ht="31.2" hidden="1">
      <c r="A87" s="4">
        <v>85</v>
      </c>
      <c r="B87" s="5" t="s">
        <v>399</v>
      </c>
      <c r="C87" s="5" t="s">
        <v>400</v>
      </c>
      <c r="D87" s="9" t="s">
        <v>172</v>
      </c>
      <c r="E87" s="4" t="s">
        <v>401</v>
      </c>
      <c r="F87" s="4" t="s">
        <v>402</v>
      </c>
      <c r="G87" s="4" t="s">
        <v>20</v>
      </c>
      <c r="H87" s="4">
        <v>1.6</v>
      </c>
      <c r="I87" s="4">
        <v>1.4</v>
      </c>
      <c r="J87" s="4" t="s">
        <v>185</v>
      </c>
      <c r="K87" s="4">
        <v>0.32</v>
      </c>
      <c r="L87" s="4">
        <v>5.5000000000000003E-4</v>
      </c>
      <c r="M87" s="4">
        <v>0.314</v>
      </c>
      <c r="N87" s="4">
        <v>3.2</v>
      </c>
      <c r="O87" s="7" t="s">
        <v>403</v>
      </c>
      <c r="P87">
        <f>SUM(A87:O87)</f>
        <v>91.834549999999993</v>
      </c>
    </row>
    <row r="88" spans="1:16" ht="31.2" hidden="1">
      <c r="A88" s="4">
        <v>86</v>
      </c>
      <c r="B88" s="5" t="s">
        <v>404</v>
      </c>
      <c r="C88" s="5" t="s">
        <v>405</v>
      </c>
      <c r="D88" s="9" t="s">
        <v>172</v>
      </c>
      <c r="E88" s="4" t="s">
        <v>406</v>
      </c>
      <c r="F88" s="4" t="s">
        <v>407</v>
      </c>
      <c r="G88" s="4" t="s">
        <v>20</v>
      </c>
      <c r="H88" s="4">
        <v>4.4000000000000004</v>
      </c>
      <c r="I88" s="4">
        <v>5</v>
      </c>
      <c r="J88" s="4" t="s">
        <v>21</v>
      </c>
      <c r="K88" s="4">
        <v>1.01</v>
      </c>
      <c r="L88" s="4">
        <v>2.5999999999999999E-3</v>
      </c>
      <c r="M88" s="4">
        <v>1.0509999999999999</v>
      </c>
      <c r="N88" s="4">
        <v>8.1999999999999993</v>
      </c>
      <c r="O88" s="7" t="s">
        <v>408</v>
      </c>
      <c r="P88">
        <f>SUM(A88:O88)</f>
        <v>105.66360000000002</v>
      </c>
    </row>
    <row r="89" spans="1:16" ht="31.2" hidden="1">
      <c r="A89" s="4">
        <v>87</v>
      </c>
      <c r="B89" s="5" t="s">
        <v>409</v>
      </c>
      <c r="C89" s="5" t="s">
        <v>410</v>
      </c>
      <c r="D89" s="9" t="s">
        <v>172</v>
      </c>
      <c r="E89" s="4" t="s">
        <v>411</v>
      </c>
      <c r="F89" s="4" t="s">
        <v>412</v>
      </c>
      <c r="G89" s="4" t="s">
        <v>20</v>
      </c>
      <c r="H89" s="4">
        <v>3.4</v>
      </c>
      <c r="I89" s="4">
        <v>3.4</v>
      </c>
      <c r="J89" s="4" t="s">
        <v>21</v>
      </c>
      <c r="K89" s="4">
        <v>0.69</v>
      </c>
      <c r="L89" s="4">
        <v>4.81E-3</v>
      </c>
      <c r="M89" s="4">
        <v>0.752</v>
      </c>
      <c r="N89" s="4">
        <v>5.8</v>
      </c>
      <c r="O89" s="7" t="s">
        <v>413</v>
      </c>
      <c r="P89">
        <f>SUM(A89:O89)</f>
        <v>101.04681000000001</v>
      </c>
    </row>
    <row r="90" spans="1:16" ht="31.2" hidden="1">
      <c r="A90" s="4">
        <v>88</v>
      </c>
      <c r="B90" s="5" t="s">
        <v>414</v>
      </c>
      <c r="C90" s="5" t="s">
        <v>415</v>
      </c>
      <c r="D90" s="9" t="s">
        <v>172</v>
      </c>
      <c r="E90" s="4" t="s">
        <v>416</v>
      </c>
      <c r="F90" s="4" t="s">
        <v>417</v>
      </c>
      <c r="G90" s="4" t="s">
        <v>20</v>
      </c>
      <c r="H90" s="4">
        <v>3</v>
      </c>
      <c r="I90" s="4">
        <v>2.9</v>
      </c>
      <c r="J90" s="4" t="s">
        <v>32</v>
      </c>
      <c r="K90" s="4">
        <v>0.72</v>
      </c>
      <c r="L90" s="4">
        <v>8.0000000000000004E-4</v>
      </c>
      <c r="M90" s="4">
        <v>0.56699999999999995</v>
      </c>
      <c r="N90" s="4">
        <v>6.6</v>
      </c>
      <c r="O90" s="7" t="s">
        <v>418</v>
      </c>
      <c r="P90">
        <f>SUM(A90:O90)</f>
        <v>101.78779999999999</v>
      </c>
    </row>
    <row r="91" spans="1:16" ht="31.2">
      <c r="A91" s="4">
        <v>89</v>
      </c>
      <c r="B91" s="5" t="s">
        <v>419</v>
      </c>
      <c r="C91" s="5" t="s">
        <v>420</v>
      </c>
      <c r="D91" s="9" t="s">
        <v>172</v>
      </c>
      <c r="E91" s="4" t="s">
        <v>421</v>
      </c>
      <c r="F91" s="4" t="s">
        <v>422</v>
      </c>
      <c r="G91" s="4" t="s">
        <v>20</v>
      </c>
      <c r="H91" s="4">
        <v>8.8000000000000007</v>
      </c>
      <c r="I91" s="4">
        <v>8.6</v>
      </c>
      <c r="J91" s="4" t="s">
        <v>46</v>
      </c>
      <c r="K91" s="4">
        <v>1.76</v>
      </c>
      <c r="L91" s="4">
        <v>1.7270000000000001E-2</v>
      </c>
      <c r="M91" s="4">
        <v>2.12</v>
      </c>
      <c r="N91" s="4">
        <v>14.8</v>
      </c>
      <c r="O91" s="7" t="s">
        <v>423</v>
      </c>
      <c r="P91">
        <f>SUM(A91:O91)</f>
        <v>125.09726999999999</v>
      </c>
    </row>
    <row r="92" spans="1:16" ht="31.2" hidden="1">
      <c r="A92" s="4">
        <v>90</v>
      </c>
      <c r="B92" s="5" t="s">
        <v>424</v>
      </c>
      <c r="C92" s="5" t="s">
        <v>425</v>
      </c>
      <c r="D92" s="9" t="s">
        <v>172</v>
      </c>
      <c r="E92" s="4" t="s">
        <v>25</v>
      </c>
      <c r="F92" s="4" t="s">
        <v>426</v>
      </c>
      <c r="G92" s="4" t="s">
        <v>31</v>
      </c>
      <c r="H92" s="4">
        <v>3.3</v>
      </c>
      <c r="I92" s="4" t="s">
        <v>25</v>
      </c>
      <c r="J92" s="4" t="s">
        <v>21</v>
      </c>
      <c r="K92" s="4">
        <v>0.51</v>
      </c>
      <c r="L92" s="4">
        <v>1.07E-3</v>
      </c>
      <c r="M92" s="4" t="s">
        <v>25</v>
      </c>
      <c r="N92" s="4">
        <v>6.1</v>
      </c>
      <c r="O92" s="7" t="s">
        <v>427</v>
      </c>
      <c r="P92">
        <f>SUM(A92:O92)</f>
        <v>99.911069999999995</v>
      </c>
    </row>
    <row r="93" spans="1:16" ht="31.2" hidden="1">
      <c r="A93" s="4">
        <v>91</v>
      </c>
      <c r="B93" s="5" t="s">
        <v>428</v>
      </c>
      <c r="C93" s="5" t="s">
        <v>429</v>
      </c>
      <c r="D93" s="9" t="s">
        <v>172</v>
      </c>
      <c r="E93" s="4" t="s">
        <v>430</v>
      </c>
      <c r="F93" s="4" t="s">
        <v>431</v>
      </c>
      <c r="G93" s="4" t="s">
        <v>20</v>
      </c>
      <c r="H93" s="4">
        <v>1.9</v>
      </c>
      <c r="I93" s="4">
        <v>2.1</v>
      </c>
      <c r="J93" s="4" t="s">
        <v>32</v>
      </c>
      <c r="K93" s="4">
        <v>0.45</v>
      </c>
      <c r="L93" s="4">
        <v>3.6999999999999999E-4</v>
      </c>
      <c r="M93" s="4">
        <v>0.30199999999999999</v>
      </c>
      <c r="N93" s="4">
        <v>4.9000000000000004</v>
      </c>
      <c r="O93" s="7" t="s">
        <v>432</v>
      </c>
      <c r="P93">
        <f>SUM(A93:O93)</f>
        <v>100.65237000000002</v>
      </c>
    </row>
    <row r="94" spans="1:16" ht="31.2" hidden="1">
      <c r="A94" s="4">
        <v>92</v>
      </c>
      <c r="B94" s="5" t="s">
        <v>433</v>
      </c>
      <c r="C94" s="5" t="s">
        <v>434</v>
      </c>
      <c r="D94" s="9" t="s">
        <v>172</v>
      </c>
      <c r="E94" s="4" t="s">
        <v>435</v>
      </c>
      <c r="F94" s="4" t="s">
        <v>436</v>
      </c>
      <c r="G94" s="4" t="s">
        <v>20</v>
      </c>
      <c r="H94" s="4">
        <v>2.4</v>
      </c>
      <c r="I94" s="4">
        <v>2.4</v>
      </c>
      <c r="J94" s="4" t="s">
        <v>32</v>
      </c>
      <c r="K94" s="4">
        <v>0.57999999999999996</v>
      </c>
      <c r="L94" s="4">
        <v>6.2399999999999999E-3</v>
      </c>
      <c r="M94" s="4">
        <v>0.45600000000000002</v>
      </c>
      <c r="N94" s="4">
        <v>4.8</v>
      </c>
      <c r="O94" s="7" t="s">
        <v>437</v>
      </c>
      <c r="P94">
        <f>SUM(A94:O94)</f>
        <v>102.64224000000002</v>
      </c>
    </row>
    <row r="95" spans="1:16" ht="31.2" hidden="1">
      <c r="A95" s="4">
        <v>93</v>
      </c>
      <c r="B95" s="5" t="s">
        <v>438</v>
      </c>
      <c r="C95" s="5" t="s">
        <v>439</v>
      </c>
      <c r="D95" s="9" t="s">
        <v>172</v>
      </c>
      <c r="E95" s="4" t="s">
        <v>25</v>
      </c>
      <c r="F95" s="4" t="s">
        <v>440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7" t="s">
        <v>441</v>
      </c>
      <c r="P95">
        <f>SUM(A95:O95)</f>
        <v>93</v>
      </c>
    </row>
    <row r="96" spans="1:16" ht="31.2">
      <c r="A96" s="4">
        <v>94</v>
      </c>
      <c r="B96" s="5" t="s">
        <v>442</v>
      </c>
      <c r="C96" s="5" t="s">
        <v>443</v>
      </c>
      <c r="D96" s="9" t="s">
        <v>172</v>
      </c>
      <c r="E96" s="4" t="s">
        <v>444</v>
      </c>
      <c r="F96" s="4" t="s">
        <v>445</v>
      </c>
      <c r="G96" s="4" t="s">
        <v>20</v>
      </c>
      <c r="H96" s="4">
        <v>16</v>
      </c>
      <c r="I96" s="4">
        <v>16.7</v>
      </c>
      <c r="J96" s="4" t="s">
        <v>46</v>
      </c>
      <c r="K96" s="4">
        <v>2.52</v>
      </c>
      <c r="L96" s="4">
        <v>3.3300000000000001E-3</v>
      </c>
      <c r="M96" s="4">
        <v>3.4830000000000001</v>
      </c>
      <c r="N96" s="4">
        <v>36.200000000000003</v>
      </c>
      <c r="O96" s="7" t="s">
        <v>446</v>
      </c>
      <c r="P96">
        <f>SUM(A96:O96)</f>
        <v>168.90633000000003</v>
      </c>
    </row>
    <row r="97" spans="1:16" ht="31.2" hidden="1">
      <c r="A97" s="4">
        <v>95</v>
      </c>
      <c r="B97" s="5" t="s">
        <v>447</v>
      </c>
      <c r="C97" s="5" t="s">
        <v>448</v>
      </c>
      <c r="D97" s="9" t="s">
        <v>172</v>
      </c>
      <c r="E97" s="4" t="s">
        <v>25</v>
      </c>
      <c r="F97" s="4" t="s">
        <v>449</v>
      </c>
      <c r="G97" s="4" t="s">
        <v>31</v>
      </c>
      <c r="H97" s="4">
        <v>0.9</v>
      </c>
      <c r="I97" s="4">
        <v>1.4</v>
      </c>
      <c r="J97" s="4" t="s">
        <v>185</v>
      </c>
      <c r="K97" s="4">
        <v>0.2</v>
      </c>
      <c r="L97" s="4">
        <v>2.9999999999999997E-4</v>
      </c>
      <c r="M97" s="4">
        <v>0.16900000000000001</v>
      </c>
      <c r="N97" s="4">
        <v>3.1</v>
      </c>
      <c r="O97" s="7" t="s">
        <v>450</v>
      </c>
      <c r="P97">
        <f>SUM(A97:O97)</f>
        <v>100.7693</v>
      </c>
    </row>
    <row r="98" spans="1:16" ht="31.2">
      <c r="A98" s="4">
        <v>96</v>
      </c>
      <c r="B98" s="5" t="s">
        <v>451</v>
      </c>
      <c r="C98" s="5" t="s">
        <v>452</v>
      </c>
      <c r="D98" s="9" t="s">
        <v>172</v>
      </c>
      <c r="E98" s="4" t="s">
        <v>453</v>
      </c>
      <c r="F98" s="4" t="s">
        <v>454</v>
      </c>
      <c r="G98" s="4" t="s">
        <v>20</v>
      </c>
      <c r="H98" s="4">
        <v>9.8000000000000007</v>
      </c>
      <c r="I98" s="4">
        <v>8.4</v>
      </c>
      <c r="J98" s="4" t="s">
        <v>46</v>
      </c>
      <c r="K98" s="4">
        <v>1.1200000000000001</v>
      </c>
      <c r="L98" s="4">
        <v>2.8400000000000001E-3</v>
      </c>
      <c r="M98" s="4">
        <v>1.667</v>
      </c>
      <c r="N98" s="4">
        <v>9.3000000000000007</v>
      </c>
      <c r="O98" s="7" t="s">
        <v>455</v>
      </c>
      <c r="P98">
        <f>SUM(A98:O98)</f>
        <v>126.28984000000001</v>
      </c>
    </row>
    <row r="99" spans="1:16" ht="31.2" hidden="1">
      <c r="A99" s="4">
        <v>97</v>
      </c>
      <c r="B99" s="5" t="s">
        <v>456</v>
      </c>
      <c r="C99" s="5" t="s">
        <v>457</v>
      </c>
      <c r="D99" s="9" t="s">
        <v>172</v>
      </c>
      <c r="E99" s="4" t="s">
        <v>458</v>
      </c>
      <c r="F99" s="4" t="s">
        <v>458</v>
      </c>
      <c r="G99" s="4" t="s">
        <v>20</v>
      </c>
      <c r="H99" s="4">
        <v>5.3</v>
      </c>
      <c r="I99" s="4">
        <v>6.3</v>
      </c>
      <c r="J99" s="4" t="s">
        <v>21</v>
      </c>
      <c r="K99" s="4">
        <v>1.17</v>
      </c>
      <c r="L99" s="4">
        <v>6.4659999999999995E-2</v>
      </c>
      <c r="M99" s="4">
        <v>1.377</v>
      </c>
      <c r="N99" s="4">
        <v>10.5</v>
      </c>
      <c r="O99" s="7" t="s">
        <v>459</v>
      </c>
      <c r="P99">
        <f>SUM(A99:O99)</f>
        <v>121.71165999999999</v>
      </c>
    </row>
    <row r="100" spans="1:16" ht="31.2" hidden="1">
      <c r="A100" s="4">
        <v>98</v>
      </c>
      <c r="B100" s="5" t="s">
        <v>460</v>
      </c>
      <c r="C100" s="5" t="s">
        <v>461</v>
      </c>
      <c r="D100" s="9" t="s">
        <v>172</v>
      </c>
      <c r="E100" s="4" t="s">
        <v>462</v>
      </c>
      <c r="F100" s="4" t="s">
        <v>462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7" t="s">
        <v>463</v>
      </c>
      <c r="P100">
        <f>SUM(A100:O100)</f>
        <v>98</v>
      </c>
    </row>
    <row r="101" spans="1:16" ht="31.2" hidden="1">
      <c r="A101" s="4">
        <v>99</v>
      </c>
      <c r="B101" s="5" t="s">
        <v>464</v>
      </c>
      <c r="C101" s="5" t="s">
        <v>465</v>
      </c>
      <c r="D101" s="9" t="s">
        <v>172</v>
      </c>
      <c r="E101" s="4" t="s">
        <v>466</v>
      </c>
      <c r="F101" s="4" t="s">
        <v>467</v>
      </c>
      <c r="G101" s="4" t="s">
        <v>20</v>
      </c>
      <c r="H101" s="4">
        <v>2.9</v>
      </c>
      <c r="I101" s="4">
        <v>3.1</v>
      </c>
      <c r="J101" s="4" t="s">
        <v>32</v>
      </c>
      <c r="K101" s="4">
        <v>0.65</v>
      </c>
      <c r="L101" s="4">
        <v>1.1100000000000001E-3</v>
      </c>
      <c r="M101" s="4">
        <v>0.56799999999999995</v>
      </c>
      <c r="N101" s="4">
        <v>4.9000000000000004</v>
      </c>
      <c r="O101" s="7" t="s">
        <v>468</v>
      </c>
      <c r="P101">
        <f>SUM(A101:O101)</f>
        <v>111.11911000000001</v>
      </c>
    </row>
    <row r="102" spans="1:16" ht="31.2" hidden="1">
      <c r="A102" s="4">
        <v>100</v>
      </c>
      <c r="B102" s="5" t="s">
        <v>469</v>
      </c>
      <c r="C102" s="5" t="s">
        <v>470</v>
      </c>
      <c r="D102" s="9" t="s">
        <v>172</v>
      </c>
      <c r="E102" s="4" t="s">
        <v>471</v>
      </c>
      <c r="F102" s="4" t="s">
        <v>472</v>
      </c>
      <c r="G102" s="4" t="s">
        <v>20</v>
      </c>
      <c r="H102" s="4">
        <v>4.5</v>
      </c>
      <c r="I102" s="4">
        <v>4.8</v>
      </c>
      <c r="J102" s="4" t="s">
        <v>21</v>
      </c>
      <c r="K102" s="4">
        <v>0.95</v>
      </c>
      <c r="L102" s="4">
        <v>8.0070000000000002E-2</v>
      </c>
      <c r="M102" s="4">
        <v>0.76200000000000001</v>
      </c>
      <c r="N102" s="4">
        <v>7.8</v>
      </c>
      <c r="O102" s="7" t="s">
        <v>473</v>
      </c>
      <c r="P102">
        <f>SUM(A102:O102)</f>
        <v>118.89207</v>
      </c>
    </row>
    <row r="103" spans="1:16" ht="31.2" hidden="1">
      <c r="A103" s="4">
        <v>101</v>
      </c>
      <c r="B103" s="5" t="s">
        <v>474</v>
      </c>
      <c r="C103" s="5" t="s">
        <v>475</v>
      </c>
      <c r="D103" s="9" t="s">
        <v>172</v>
      </c>
      <c r="E103" s="4" t="s">
        <v>476</v>
      </c>
      <c r="F103" s="4" t="s">
        <v>476</v>
      </c>
      <c r="G103" s="4" t="s">
        <v>31</v>
      </c>
      <c r="H103" s="4">
        <v>2.4</v>
      </c>
      <c r="I103" s="4">
        <v>2.5</v>
      </c>
      <c r="J103" s="4" t="s">
        <v>32</v>
      </c>
      <c r="K103" s="4">
        <v>0.49</v>
      </c>
      <c r="L103" s="4">
        <v>4.4099999999999999E-3</v>
      </c>
      <c r="M103" s="4">
        <v>0.42599999999999999</v>
      </c>
      <c r="N103" s="4">
        <v>4.2</v>
      </c>
      <c r="O103" s="7" t="s">
        <v>477</v>
      </c>
      <c r="P103">
        <f>SUM(A103:O103)</f>
        <v>111.02041</v>
      </c>
    </row>
    <row r="104" spans="1:16" ht="31.2" hidden="1">
      <c r="A104" s="4">
        <v>102</v>
      </c>
      <c r="B104" s="5" t="s">
        <v>478</v>
      </c>
      <c r="C104" s="5" t="s">
        <v>479</v>
      </c>
      <c r="D104" s="9" t="s">
        <v>172</v>
      </c>
      <c r="E104" s="4" t="s">
        <v>480</v>
      </c>
      <c r="F104" s="4" t="s">
        <v>481</v>
      </c>
      <c r="G104" s="4" t="s">
        <v>25</v>
      </c>
      <c r="H104" s="4" t="s">
        <v>25</v>
      </c>
      <c r="I104" s="4" t="s">
        <v>25</v>
      </c>
      <c r="J104" s="4" t="s">
        <v>25</v>
      </c>
      <c r="K104" s="4" t="s">
        <v>25</v>
      </c>
      <c r="L104" s="4" t="s">
        <v>25</v>
      </c>
      <c r="M104" s="4" t="s">
        <v>25</v>
      </c>
      <c r="N104" s="4" t="s">
        <v>25</v>
      </c>
      <c r="O104" s="7" t="s">
        <v>482</v>
      </c>
      <c r="P104">
        <f>SUM(A104:O104)</f>
        <v>102</v>
      </c>
    </row>
    <row r="105" spans="1:16" ht="31.2" hidden="1">
      <c r="A105" s="4">
        <v>103</v>
      </c>
      <c r="B105" s="5" t="s">
        <v>483</v>
      </c>
      <c r="C105" s="5" t="s">
        <v>484</v>
      </c>
      <c r="D105" s="9" t="s">
        <v>172</v>
      </c>
      <c r="E105" s="4" t="s">
        <v>485</v>
      </c>
      <c r="F105" s="4" t="s">
        <v>486</v>
      </c>
      <c r="G105" s="4" t="s">
        <v>20</v>
      </c>
      <c r="H105" s="4">
        <v>3.6</v>
      </c>
      <c r="I105" s="4">
        <v>3.9</v>
      </c>
      <c r="J105" s="4" t="s">
        <v>21</v>
      </c>
      <c r="K105" s="4">
        <v>0.79</v>
      </c>
      <c r="L105" s="4">
        <v>1.592E-2</v>
      </c>
      <c r="M105" s="4">
        <v>0.85899999999999999</v>
      </c>
      <c r="N105" s="4">
        <v>6.3</v>
      </c>
      <c r="O105" s="7" t="s">
        <v>487</v>
      </c>
      <c r="P105">
        <f>SUM(A105:O105)</f>
        <v>118.46491999999999</v>
      </c>
    </row>
    <row r="106" spans="1:16" ht="31.2" hidden="1">
      <c r="A106" s="4">
        <v>104</v>
      </c>
      <c r="B106" s="5" t="s">
        <v>488</v>
      </c>
      <c r="C106" s="5" t="s">
        <v>489</v>
      </c>
      <c r="D106" s="9" t="s">
        <v>172</v>
      </c>
      <c r="E106" s="4" t="s">
        <v>490</v>
      </c>
      <c r="F106" s="4" t="s">
        <v>491</v>
      </c>
      <c r="G106" s="4" t="s">
        <v>20</v>
      </c>
      <c r="H106" s="4">
        <v>4</v>
      </c>
      <c r="I106" s="4">
        <v>3.7</v>
      </c>
      <c r="J106" s="4" t="s">
        <v>21</v>
      </c>
      <c r="K106" s="4">
        <v>0.78</v>
      </c>
      <c r="L106" s="4">
        <v>1.4400000000000001E-3</v>
      </c>
      <c r="M106" s="4">
        <v>0.55800000000000005</v>
      </c>
      <c r="N106" s="4">
        <v>5.3</v>
      </c>
      <c r="O106" s="7" t="s">
        <v>492</v>
      </c>
      <c r="P106">
        <f>SUM(A106:O106)</f>
        <v>118.33944000000001</v>
      </c>
    </row>
    <row r="107" spans="1:16" ht="31.2" hidden="1">
      <c r="A107" s="4">
        <v>105</v>
      </c>
      <c r="B107" s="5" t="s">
        <v>493</v>
      </c>
      <c r="C107" s="5" t="s">
        <v>494</v>
      </c>
      <c r="D107" s="9" t="s">
        <v>172</v>
      </c>
      <c r="E107" s="4" t="s">
        <v>25</v>
      </c>
      <c r="F107" s="4" t="s">
        <v>495</v>
      </c>
      <c r="G107" s="4" t="s">
        <v>31</v>
      </c>
      <c r="H107" s="4">
        <v>2</v>
      </c>
      <c r="I107" s="4">
        <v>2.2999999999999998</v>
      </c>
      <c r="J107" s="4" t="s">
        <v>32</v>
      </c>
      <c r="K107" s="4">
        <v>0.45</v>
      </c>
      <c r="L107" s="4">
        <v>3.31E-3</v>
      </c>
      <c r="M107" s="4">
        <v>1.0309999999999999</v>
      </c>
      <c r="N107" s="4">
        <v>3.9</v>
      </c>
      <c r="O107" s="7" t="s">
        <v>496</v>
      </c>
      <c r="P107">
        <f>SUM(A107:O107)</f>
        <v>114.68431000000001</v>
      </c>
    </row>
    <row r="108" spans="1:16" ht="31.2" hidden="1">
      <c r="A108" s="4">
        <v>106</v>
      </c>
      <c r="B108" s="5" t="s">
        <v>497</v>
      </c>
      <c r="C108" s="5" t="s">
        <v>498</v>
      </c>
      <c r="D108" s="9" t="s">
        <v>172</v>
      </c>
      <c r="E108" s="4" t="s">
        <v>499</v>
      </c>
      <c r="F108" s="4" t="s">
        <v>500</v>
      </c>
      <c r="G108" s="4" t="s">
        <v>20</v>
      </c>
      <c r="H108" s="4">
        <v>2.2000000000000002</v>
      </c>
      <c r="I108" s="4">
        <v>2.2000000000000002</v>
      </c>
      <c r="J108" s="4" t="s">
        <v>32</v>
      </c>
      <c r="K108" s="4">
        <v>0.26</v>
      </c>
      <c r="L108" s="4">
        <v>1.08E-3</v>
      </c>
      <c r="M108" s="4">
        <v>0.55900000000000005</v>
      </c>
      <c r="N108" s="4">
        <v>2.5</v>
      </c>
      <c r="O108" s="7" t="s">
        <v>501</v>
      </c>
      <c r="P108">
        <f>SUM(A108:O108)</f>
        <v>113.72008000000001</v>
      </c>
    </row>
    <row r="109" spans="1:16" ht="31.2" hidden="1">
      <c r="A109" s="4">
        <v>107</v>
      </c>
      <c r="B109" s="5" t="s">
        <v>502</v>
      </c>
      <c r="C109" s="5" t="s">
        <v>503</v>
      </c>
      <c r="D109" s="9" t="s">
        <v>172</v>
      </c>
      <c r="E109" s="4" t="s">
        <v>504</v>
      </c>
      <c r="F109" s="4" t="s">
        <v>505</v>
      </c>
      <c r="G109" s="4" t="s">
        <v>20</v>
      </c>
      <c r="H109" s="4">
        <v>4.9000000000000004</v>
      </c>
      <c r="I109" s="4">
        <v>4.4000000000000004</v>
      </c>
      <c r="J109" s="4" t="s">
        <v>21</v>
      </c>
      <c r="K109" s="4">
        <v>0.95</v>
      </c>
      <c r="L109" s="4">
        <v>1.8800000000000001E-2</v>
      </c>
      <c r="M109" s="4">
        <v>0.98799999999999999</v>
      </c>
      <c r="N109" s="4">
        <v>14.1</v>
      </c>
      <c r="O109" s="7" t="s">
        <v>506</v>
      </c>
      <c r="P109">
        <f>SUM(A109:O109)</f>
        <v>132.35680000000002</v>
      </c>
    </row>
    <row r="110" spans="1:16" ht="31.2">
      <c r="A110" s="4">
        <v>108</v>
      </c>
      <c r="B110" s="5" t="s">
        <v>507</v>
      </c>
      <c r="C110" s="5" t="s">
        <v>508</v>
      </c>
      <c r="D110" s="9" t="s">
        <v>172</v>
      </c>
      <c r="E110" s="4" t="s">
        <v>509</v>
      </c>
      <c r="F110" s="4" t="s">
        <v>510</v>
      </c>
      <c r="G110" s="4" t="s">
        <v>20</v>
      </c>
      <c r="H110" s="4">
        <v>7</v>
      </c>
      <c r="I110" s="4">
        <v>7</v>
      </c>
      <c r="J110" s="4" t="s">
        <v>46</v>
      </c>
      <c r="K110" s="4">
        <v>1.57</v>
      </c>
      <c r="L110" s="4">
        <v>2.5669999999999998E-2</v>
      </c>
      <c r="M110" s="4">
        <v>1.369</v>
      </c>
      <c r="N110" s="4">
        <v>9.4</v>
      </c>
      <c r="O110" s="7" t="s">
        <v>511</v>
      </c>
      <c r="P110">
        <f>SUM(A110:O110)</f>
        <v>134.36466999999999</v>
      </c>
    </row>
    <row r="111" spans="1:16" ht="31.2">
      <c r="A111" s="4">
        <v>109</v>
      </c>
      <c r="B111" s="5" t="s">
        <v>512</v>
      </c>
      <c r="C111" s="5" t="s">
        <v>513</v>
      </c>
      <c r="D111" s="9" t="s">
        <v>172</v>
      </c>
      <c r="E111" s="4" t="s">
        <v>514</v>
      </c>
      <c r="F111" s="4" t="s">
        <v>514</v>
      </c>
      <c r="G111" s="4" t="s">
        <v>20</v>
      </c>
      <c r="H111" s="4">
        <v>11.3</v>
      </c>
      <c r="I111" s="4">
        <v>11.6</v>
      </c>
      <c r="J111" s="4" t="s">
        <v>46</v>
      </c>
      <c r="K111" s="4">
        <v>1.99</v>
      </c>
      <c r="L111" s="4">
        <v>1.15E-2</v>
      </c>
      <c r="M111" s="4">
        <v>2.1240000000000001</v>
      </c>
      <c r="N111" s="4">
        <v>21.5</v>
      </c>
      <c r="O111" s="7" t="s">
        <v>515</v>
      </c>
      <c r="P111">
        <f>SUM(A111:O111)</f>
        <v>157.52550000000002</v>
      </c>
    </row>
    <row r="112" spans="1:16" ht="31.2" hidden="1">
      <c r="A112" s="4">
        <v>110</v>
      </c>
      <c r="B112" s="5" t="s">
        <v>516</v>
      </c>
      <c r="C112" s="5" t="s">
        <v>517</v>
      </c>
      <c r="D112" s="9" t="s">
        <v>172</v>
      </c>
      <c r="E112" s="4" t="s">
        <v>25</v>
      </c>
      <c r="F112" s="4" t="s">
        <v>518</v>
      </c>
      <c r="G112" s="4" t="s">
        <v>25</v>
      </c>
      <c r="H112" s="4" t="s">
        <v>25</v>
      </c>
      <c r="I112" s="4" t="s">
        <v>25</v>
      </c>
      <c r="J112" s="4" t="s">
        <v>25</v>
      </c>
      <c r="K112" s="4" t="s">
        <v>25</v>
      </c>
      <c r="L112" s="4" t="s">
        <v>25</v>
      </c>
      <c r="M112" s="4" t="s">
        <v>25</v>
      </c>
      <c r="N112" s="4" t="s">
        <v>25</v>
      </c>
      <c r="O112" s="7" t="s">
        <v>519</v>
      </c>
      <c r="P112">
        <f>SUM(A112:O112)</f>
        <v>110</v>
      </c>
    </row>
    <row r="113" spans="1:16" ht="31.2">
      <c r="A113" s="4">
        <v>111</v>
      </c>
      <c r="B113" s="5" t="s">
        <v>520</v>
      </c>
      <c r="C113" s="5" t="s">
        <v>521</v>
      </c>
      <c r="D113" s="9" t="s">
        <v>172</v>
      </c>
      <c r="E113" s="4" t="s">
        <v>522</v>
      </c>
      <c r="F113" s="4" t="s">
        <v>523</v>
      </c>
      <c r="G113" s="4" t="s">
        <v>20</v>
      </c>
      <c r="H113" s="4">
        <v>5.9</v>
      </c>
      <c r="I113" s="4">
        <v>6</v>
      </c>
      <c r="J113" s="4" t="s">
        <v>46</v>
      </c>
      <c r="K113" s="4">
        <v>1.25</v>
      </c>
      <c r="L113" s="4">
        <v>4.3639999999999998E-2</v>
      </c>
      <c r="M113" s="4">
        <v>1.121</v>
      </c>
      <c r="N113" s="4">
        <v>12.4</v>
      </c>
      <c r="O113" s="7" t="s">
        <v>524</v>
      </c>
      <c r="P113">
        <f>SUM(A113:O113)</f>
        <v>137.71464</v>
      </c>
    </row>
    <row r="114" spans="1:16" ht="31.2" hidden="1">
      <c r="A114" s="4">
        <v>112</v>
      </c>
      <c r="B114" s="5" t="s">
        <v>525</v>
      </c>
      <c r="C114" s="5" t="s">
        <v>526</v>
      </c>
      <c r="D114" s="9" t="s">
        <v>172</v>
      </c>
      <c r="E114" s="4" t="s">
        <v>527</v>
      </c>
      <c r="F114" s="4" t="s">
        <v>528</v>
      </c>
      <c r="G114" s="4" t="s">
        <v>20</v>
      </c>
      <c r="H114" s="4">
        <v>1.8</v>
      </c>
      <c r="I114" s="4">
        <v>1.8</v>
      </c>
      <c r="J114" s="4" t="s">
        <v>32</v>
      </c>
      <c r="K114" s="4">
        <v>0.37</v>
      </c>
      <c r="L114" s="4">
        <v>8.5100000000000002E-3</v>
      </c>
      <c r="M114" s="4">
        <v>0.29099999999999998</v>
      </c>
      <c r="N114" s="4">
        <v>3.3</v>
      </c>
      <c r="O114" s="7" t="s">
        <v>529</v>
      </c>
      <c r="P114">
        <f>SUM(A114:O114)</f>
        <v>119.56950999999999</v>
      </c>
    </row>
    <row r="115" spans="1:16" ht="31.2" hidden="1">
      <c r="A115" s="4">
        <v>113</v>
      </c>
      <c r="B115" s="5" t="s">
        <v>530</v>
      </c>
      <c r="C115" s="5" t="s">
        <v>531</v>
      </c>
      <c r="D115" s="9" t="s">
        <v>172</v>
      </c>
      <c r="E115" s="4" t="s">
        <v>25</v>
      </c>
      <c r="F115" s="4" t="s">
        <v>532</v>
      </c>
      <c r="G115" s="4" t="s">
        <v>25</v>
      </c>
      <c r="H115" s="4" t="s">
        <v>25</v>
      </c>
      <c r="I115" s="4" t="s">
        <v>25</v>
      </c>
      <c r="J115" s="4" t="s">
        <v>25</v>
      </c>
      <c r="K115" s="4" t="s">
        <v>25</v>
      </c>
      <c r="L115" s="4" t="s">
        <v>25</v>
      </c>
      <c r="M115" s="4" t="s">
        <v>25</v>
      </c>
      <c r="N115" s="4">
        <v>9.1</v>
      </c>
      <c r="O115" s="7" t="s">
        <v>533</v>
      </c>
      <c r="P115">
        <f>SUM(A115:O115)</f>
        <v>122.1</v>
      </c>
    </row>
    <row r="116" spans="1:16" ht="31.2">
      <c r="A116" s="4">
        <v>114</v>
      </c>
      <c r="B116" s="5" t="s">
        <v>534</v>
      </c>
      <c r="C116" s="5" t="s">
        <v>535</v>
      </c>
      <c r="D116" s="9" t="s">
        <v>172</v>
      </c>
      <c r="E116" s="4" t="s">
        <v>25</v>
      </c>
      <c r="F116" s="4" t="s">
        <v>536</v>
      </c>
      <c r="G116" s="4" t="s">
        <v>20</v>
      </c>
      <c r="H116" s="4">
        <v>5.2</v>
      </c>
      <c r="I116" s="4">
        <v>6</v>
      </c>
      <c r="J116" s="4" t="s">
        <v>46</v>
      </c>
      <c r="K116" s="4">
        <v>1.29</v>
      </c>
      <c r="L116" s="4">
        <v>1.018E-2</v>
      </c>
      <c r="M116" s="4">
        <v>0.91100000000000003</v>
      </c>
      <c r="N116" s="4">
        <v>14.5</v>
      </c>
      <c r="O116" s="7" t="s">
        <v>537</v>
      </c>
      <c r="P116">
        <f>SUM(A116:O116)</f>
        <v>141.91118</v>
      </c>
    </row>
    <row r="117" spans="1:16" ht="31.2">
      <c r="A117" s="4">
        <v>115</v>
      </c>
      <c r="B117" s="5" t="s">
        <v>538</v>
      </c>
      <c r="C117" s="5" t="s">
        <v>539</v>
      </c>
      <c r="D117" s="9" t="s">
        <v>172</v>
      </c>
      <c r="E117" s="4" t="s">
        <v>540</v>
      </c>
      <c r="F117" s="4" t="s">
        <v>541</v>
      </c>
      <c r="G117" s="4" t="s">
        <v>20</v>
      </c>
      <c r="H117" s="4">
        <v>7</v>
      </c>
      <c r="I117" s="4">
        <v>7.2</v>
      </c>
      <c r="J117" s="4" t="s">
        <v>46</v>
      </c>
      <c r="K117" s="4">
        <v>1.57</v>
      </c>
      <c r="L117" s="4">
        <v>6.615E-2</v>
      </c>
      <c r="M117" s="4">
        <v>2.5779999999999998</v>
      </c>
      <c r="N117" s="4">
        <v>13.6</v>
      </c>
      <c r="O117" s="7" t="s">
        <v>542</v>
      </c>
      <c r="P117">
        <f>SUM(A117:O117)</f>
        <v>147.01414999999997</v>
      </c>
    </row>
    <row r="118" spans="1:16" ht="31.2">
      <c r="A118" s="4">
        <v>116</v>
      </c>
      <c r="B118" s="5" t="s">
        <v>543</v>
      </c>
      <c r="C118" s="5" t="s">
        <v>544</v>
      </c>
      <c r="D118" s="9" t="s">
        <v>172</v>
      </c>
      <c r="E118" s="4" t="s">
        <v>545</v>
      </c>
      <c r="F118" s="4" t="s">
        <v>546</v>
      </c>
      <c r="G118" s="4" t="s">
        <v>20</v>
      </c>
      <c r="H118" s="4">
        <v>7.9</v>
      </c>
      <c r="I118" s="4">
        <v>8.1999999999999993</v>
      </c>
      <c r="J118" s="4" t="s">
        <v>46</v>
      </c>
      <c r="K118" s="4">
        <v>1.39</v>
      </c>
      <c r="L118" s="4">
        <v>3.2329999999999998E-2</v>
      </c>
      <c r="M118" s="4">
        <v>1.857</v>
      </c>
      <c r="N118" s="4">
        <v>10.3</v>
      </c>
      <c r="O118" s="7" t="s">
        <v>547</v>
      </c>
      <c r="P118">
        <f>SUM(A118:O118)</f>
        <v>145.67932999999999</v>
      </c>
    </row>
    <row r="119" spans="1:16" ht="31.2">
      <c r="A119" s="4">
        <v>117</v>
      </c>
      <c r="B119" s="5" t="s">
        <v>548</v>
      </c>
      <c r="C119" s="5" t="s">
        <v>549</v>
      </c>
      <c r="D119" s="9" t="s">
        <v>172</v>
      </c>
      <c r="E119" s="4" t="s">
        <v>550</v>
      </c>
      <c r="F119" s="4" t="s">
        <v>550</v>
      </c>
      <c r="G119" s="4" t="s">
        <v>20</v>
      </c>
      <c r="H119" s="4">
        <v>8.1</v>
      </c>
      <c r="I119" s="4">
        <v>7</v>
      </c>
      <c r="J119" s="4" t="s">
        <v>46</v>
      </c>
      <c r="K119" s="4">
        <v>1.85</v>
      </c>
      <c r="L119" s="4">
        <v>5.64E-3</v>
      </c>
      <c r="M119" s="4">
        <v>1.5640000000000001</v>
      </c>
      <c r="N119" s="4">
        <v>10.6</v>
      </c>
      <c r="O119" s="7" t="s">
        <v>551</v>
      </c>
      <c r="P119">
        <f>SUM(A119:O119)</f>
        <v>146.11963999999998</v>
      </c>
    </row>
    <row r="120" spans="1:16" ht="31.2" hidden="1">
      <c r="A120" s="4">
        <v>118</v>
      </c>
      <c r="B120" s="5" t="s">
        <v>552</v>
      </c>
      <c r="C120" s="5" t="s">
        <v>553</v>
      </c>
      <c r="D120" s="9" t="s">
        <v>172</v>
      </c>
      <c r="E120" s="4" t="s">
        <v>554</v>
      </c>
      <c r="F120" s="4" t="s">
        <v>555</v>
      </c>
      <c r="G120" s="4" t="s">
        <v>20</v>
      </c>
      <c r="H120" s="4">
        <v>5.0999999999999996</v>
      </c>
      <c r="I120" s="4">
        <v>5.5</v>
      </c>
      <c r="J120" s="4" t="s">
        <v>21</v>
      </c>
      <c r="K120" s="4">
        <v>0.97</v>
      </c>
      <c r="L120" s="4">
        <v>6.4700000000000001E-3</v>
      </c>
      <c r="M120" s="4">
        <v>1.554</v>
      </c>
      <c r="N120" s="4">
        <v>10.6</v>
      </c>
      <c r="O120" s="7" t="s">
        <v>556</v>
      </c>
      <c r="P120">
        <f>SUM(A120:O120)</f>
        <v>141.73047</v>
      </c>
    </row>
    <row r="121" spans="1:16" ht="31.2" hidden="1">
      <c r="A121" s="4">
        <v>119</v>
      </c>
      <c r="B121" s="5" t="s">
        <v>557</v>
      </c>
      <c r="C121" s="5" t="s">
        <v>558</v>
      </c>
      <c r="D121" s="9" t="s">
        <v>172</v>
      </c>
      <c r="E121" s="4" t="s">
        <v>559</v>
      </c>
      <c r="F121" s="4" t="s">
        <v>560</v>
      </c>
      <c r="G121" s="4" t="s">
        <v>20</v>
      </c>
      <c r="H121" s="4">
        <v>4.4000000000000004</v>
      </c>
      <c r="I121" s="4">
        <v>4.9000000000000004</v>
      </c>
      <c r="J121" s="4" t="s">
        <v>21</v>
      </c>
      <c r="K121" s="4">
        <v>0.95</v>
      </c>
      <c r="L121" s="4">
        <v>1.481E-2</v>
      </c>
      <c r="M121" s="4">
        <v>1.135</v>
      </c>
      <c r="N121" s="4">
        <v>10</v>
      </c>
      <c r="O121" s="7" t="s">
        <v>561</v>
      </c>
      <c r="P121">
        <f>SUM(A121:O121)</f>
        <v>140.39981</v>
      </c>
    </row>
    <row r="122" spans="1:16" ht="31.2" hidden="1">
      <c r="A122" s="4">
        <v>120</v>
      </c>
      <c r="B122" s="5" t="s">
        <v>562</v>
      </c>
      <c r="C122" s="5" t="s">
        <v>563</v>
      </c>
      <c r="D122" s="9" t="s">
        <v>172</v>
      </c>
      <c r="E122" s="4" t="s">
        <v>25</v>
      </c>
      <c r="F122" s="4" t="s">
        <v>564</v>
      </c>
      <c r="G122" s="4" t="s">
        <v>31</v>
      </c>
      <c r="H122" s="4">
        <v>4.4000000000000004</v>
      </c>
      <c r="I122" s="4" t="s">
        <v>25</v>
      </c>
      <c r="J122" s="4" t="s">
        <v>21</v>
      </c>
      <c r="K122" s="4">
        <v>0.85</v>
      </c>
      <c r="L122" s="4">
        <v>1.91E-3</v>
      </c>
      <c r="M122" s="4" t="s">
        <v>25</v>
      </c>
      <c r="N122" s="4">
        <v>9.6</v>
      </c>
      <c r="O122" s="7" t="s">
        <v>565</v>
      </c>
      <c r="P122">
        <f>SUM(A122:O122)</f>
        <v>134.85191</v>
      </c>
    </row>
    <row r="123" spans="1:16" ht="31.2">
      <c r="A123" s="4">
        <v>121</v>
      </c>
      <c r="B123" s="5" t="s">
        <v>566</v>
      </c>
      <c r="C123" s="5" t="s">
        <v>567</v>
      </c>
      <c r="D123" s="9" t="s">
        <v>172</v>
      </c>
      <c r="E123" s="4" t="s">
        <v>568</v>
      </c>
      <c r="F123" s="4" t="s">
        <v>569</v>
      </c>
      <c r="G123" s="4" t="s">
        <v>20</v>
      </c>
      <c r="H123" s="4">
        <v>5.9</v>
      </c>
      <c r="I123" s="4">
        <v>4.5999999999999996</v>
      </c>
      <c r="J123" s="4" t="s">
        <v>46</v>
      </c>
      <c r="K123" s="4">
        <v>1.06</v>
      </c>
      <c r="L123" s="4">
        <v>3.0599999999999998E-3</v>
      </c>
      <c r="M123" s="4">
        <v>0.91600000000000004</v>
      </c>
      <c r="N123" s="4">
        <v>9.4</v>
      </c>
      <c r="O123" s="7" t="s">
        <v>570</v>
      </c>
      <c r="P123">
        <f>SUM(A123:O123)</f>
        <v>142.87906000000001</v>
      </c>
    </row>
    <row r="124" spans="1:16" ht="31.2" hidden="1">
      <c r="A124" s="4">
        <v>122</v>
      </c>
      <c r="B124" s="5" t="s">
        <v>571</v>
      </c>
      <c r="C124" s="5" t="s">
        <v>572</v>
      </c>
      <c r="D124" s="9" t="s">
        <v>172</v>
      </c>
      <c r="E124" s="4" t="s">
        <v>25</v>
      </c>
      <c r="F124" s="4" t="s">
        <v>573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4" t="s">
        <v>25</v>
      </c>
      <c r="M124" s="4" t="s">
        <v>25</v>
      </c>
      <c r="N124" s="4">
        <v>1.2</v>
      </c>
      <c r="O124" s="7" t="s">
        <v>574</v>
      </c>
      <c r="P124">
        <f>SUM(A124:O124)</f>
        <v>123.2</v>
      </c>
    </row>
    <row r="125" spans="1:16" ht="31.2">
      <c r="A125" s="4">
        <v>123</v>
      </c>
      <c r="B125" s="5" t="s">
        <v>575</v>
      </c>
      <c r="C125" s="5" t="s">
        <v>576</v>
      </c>
      <c r="D125" s="9" t="s">
        <v>172</v>
      </c>
      <c r="E125" s="4" t="s">
        <v>577</v>
      </c>
      <c r="F125" s="4" t="s">
        <v>578</v>
      </c>
      <c r="G125" s="4" t="s">
        <v>20</v>
      </c>
      <c r="H125" s="4">
        <v>10.8</v>
      </c>
      <c r="I125" s="4">
        <v>10.3</v>
      </c>
      <c r="J125" s="4" t="s">
        <v>46</v>
      </c>
      <c r="K125" s="4">
        <v>2.2999999999999998</v>
      </c>
      <c r="L125" s="4">
        <v>5.4170000000000003E-2</v>
      </c>
      <c r="M125" s="4">
        <v>2.371</v>
      </c>
      <c r="N125" s="4">
        <v>18.100000000000001</v>
      </c>
      <c r="O125" s="7" t="s">
        <v>579</v>
      </c>
      <c r="P125">
        <f>SUM(A125:O125)</f>
        <v>166.92517000000004</v>
      </c>
    </row>
    <row r="126" spans="1:16" ht="31.2">
      <c r="A126" s="4">
        <v>124</v>
      </c>
      <c r="B126" s="5" t="s">
        <v>580</v>
      </c>
      <c r="C126" s="5" t="s">
        <v>581</v>
      </c>
      <c r="D126" s="9" t="s">
        <v>172</v>
      </c>
      <c r="E126" s="4" t="s">
        <v>582</v>
      </c>
      <c r="F126" s="4" t="s">
        <v>583</v>
      </c>
      <c r="G126" s="4" t="s">
        <v>20</v>
      </c>
      <c r="H126" s="4">
        <v>5.6</v>
      </c>
      <c r="I126" s="4">
        <v>5.7</v>
      </c>
      <c r="J126" s="4" t="s">
        <v>46</v>
      </c>
      <c r="K126" s="4">
        <v>1.1399999999999999</v>
      </c>
      <c r="L126" s="4">
        <v>3.1109999999999999E-2</v>
      </c>
      <c r="M126" s="4">
        <v>1.593</v>
      </c>
      <c r="N126" s="4">
        <v>10.1</v>
      </c>
      <c r="O126" s="7" t="s">
        <v>584</v>
      </c>
      <c r="P126">
        <f>SUM(A126:O126)</f>
        <v>148.16410999999997</v>
      </c>
    </row>
    <row r="127" spans="1:16" ht="31.2" hidden="1">
      <c r="A127" s="4">
        <v>125</v>
      </c>
      <c r="B127" s="5" t="s">
        <v>585</v>
      </c>
      <c r="C127" s="5" t="s">
        <v>586</v>
      </c>
      <c r="D127" s="9" t="s">
        <v>172</v>
      </c>
      <c r="E127" s="4" t="s">
        <v>587</v>
      </c>
      <c r="F127" s="4" t="s">
        <v>588</v>
      </c>
      <c r="G127" s="4" t="s">
        <v>20</v>
      </c>
      <c r="H127" s="4">
        <v>4.5999999999999996</v>
      </c>
      <c r="I127" s="4">
        <v>4.5</v>
      </c>
      <c r="J127" s="4" t="s">
        <v>21</v>
      </c>
      <c r="K127" s="4">
        <v>1.1000000000000001</v>
      </c>
      <c r="L127" s="4">
        <v>3.6650000000000002E-2</v>
      </c>
      <c r="M127" s="4">
        <v>1.103</v>
      </c>
      <c r="N127" s="4">
        <v>11.1</v>
      </c>
      <c r="O127" s="7" t="s">
        <v>589</v>
      </c>
      <c r="P127">
        <f>SUM(A127:O127)</f>
        <v>147.43965</v>
      </c>
    </row>
    <row r="128" spans="1:16" ht="31.2">
      <c r="A128" s="4">
        <v>126</v>
      </c>
      <c r="B128" s="5" t="s">
        <v>590</v>
      </c>
      <c r="C128" s="5" t="s">
        <v>591</v>
      </c>
      <c r="D128" s="9" t="s">
        <v>172</v>
      </c>
      <c r="E128" s="4" t="s">
        <v>592</v>
      </c>
      <c r="F128" s="4" t="s">
        <v>592</v>
      </c>
      <c r="G128" s="4" t="s">
        <v>20</v>
      </c>
      <c r="H128" s="4">
        <v>5.3</v>
      </c>
      <c r="I128" s="4">
        <v>4.8</v>
      </c>
      <c r="J128" s="4" t="s">
        <v>46</v>
      </c>
      <c r="K128" s="4">
        <v>1.4</v>
      </c>
      <c r="L128" s="4">
        <v>6.0899999999999999E-3</v>
      </c>
      <c r="M128" s="4">
        <v>1.0009999999999999</v>
      </c>
      <c r="N128" s="4">
        <v>13.9</v>
      </c>
      <c r="O128" s="7" t="s">
        <v>593</v>
      </c>
      <c r="P128">
        <f>SUM(A128:O128)</f>
        <v>152.40709000000004</v>
      </c>
    </row>
    <row r="129" spans="1:16" ht="31.2" hidden="1">
      <c r="A129" s="4">
        <v>127</v>
      </c>
      <c r="B129" s="5" t="s">
        <v>594</v>
      </c>
      <c r="C129" s="5" t="s">
        <v>595</v>
      </c>
      <c r="D129" s="9" t="s">
        <v>172</v>
      </c>
      <c r="E129" s="4" t="s">
        <v>596</v>
      </c>
      <c r="F129" s="4" t="s">
        <v>597</v>
      </c>
      <c r="G129" s="4" t="s">
        <v>20</v>
      </c>
      <c r="H129" s="4">
        <v>4.7</v>
      </c>
      <c r="I129" s="4">
        <v>5.0999999999999996</v>
      </c>
      <c r="J129" s="4" t="s">
        <v>21</v>
      </c>
      <c r="K129" s="4">
        <v>1.1100000000000001</v>
      </c>
      <c r="L129" s="4">
        <v>5.6299999999999996E-3</v>
      </c>
      <c r="M129" s="4">
        <v>1.1140000000000001</v>
      </c>
      <c r="N129" s="4">
        <v>11.1</v>
      </c>
      <c r="O129" s="7" t="s">
        <v>598</v>
      </c>
      <c r="P129">
        <f>SUM(A129:O129)</f>
        <v>150.12962999999999</v>
      </c>
    </row>
    <row r="130" spans="1:16" ht="31.2">
      <c r="A130" s="4">
        <v>128</v>
      </c>
      <c r="B130" s="5" t="s">
        <v>599</v>
      </c>
      <c r="C130" s="5" t="s">
        <v>600</v>
      </c>
      <c r="D130" s="9" t="s">
        <v>172</v>
      </c>
      <c r="E130" s="4" t="s">
        <v>601</v>
      </c>
      <c r="F130" s="4" t="s">
        <v>601</v>
      </c>
      <c r="G130" s="4" t="s">
        <v>20</v>
      </c>
      <c r="H130" s="4">
        <v>8</v>
      </c>
      <c r="I130" s="4">
        <v>8.4</v>
      </c>
      <c r="J130" s="4" t="s">
        <v>46</v>
      </c>
      <c r="K130" s="4">
        <v>1.61</v>
      </c>
      <c r="L130" s="4">
        <v>1.0019999999999999E-2</v>
      </c>
      <c r="M130" s="4">
        <v>2.0659999999999998</v>
      </c>
      <c r="N130" s="4">
        <v>12.4</v>
      </c>
      <c r="O130" s="7" t="s">
        <v>602</v>
      </c>
      <c r="P130">
        <f>SUM(A130:O130)</f>
        <v>160.48602000000002</v>
      </c>
    </row>
    <row r="131" spans="1:16" ht="31.2">
      <c r="A131" s="4">
        <v>129</v>
      </c>
      <c r="B131" s="5" t="s">
        <v>603</v>
      </c>
      <c r="C131" s="5" t="s">
        <v>604</v>
      </c>
      <c r="D131" s="9" t="s">
        <v>172</v>
      </c>
      <c r="E131" s="4" t="s">
        <v>605</v>
      </c>
      <c r="F131" s="4" t="s">
        <v>606</v>
      </c>
      <c r="G131" s="4" t="s">
        <v>20</v>
      </c>
      <c r="H131" s="4">
        <v>8.4</v>
      </c>
      <c r="I131" s="4">
        <v>8.1999999999999993</v>
      </c>
      <c r="J131" s="4" t="s">
        <v>46</v>
      </c>
      <c r="K131" s="4">
        <v>1.74</v>
      </c>
      <c r="L131" s="4">
        <v>4.7809999999999998E-2</v>
      </c>
      <c r="M131" s="4">
        <v>2.27</v>
      </c>
      <c r="N131" s="4">
        <v>13.4</v>
      </c>
      <c r="O131" s="7" t="s">
        <v>607</v>
      </c>
      <c r="P131">
        <f>SUM(A131:O131)</f>
        <v>163.05781000000002</v>
      </c>
    </row>
    <row r="132" spans="1:16" ht="46.8" hidden="1">
      <c r="A132" s="4">
        <v>130</v>
      </c>
      <c r="B132" s="5" t="s">
        <v>608</v>
      </c>
      <c r="C132" s="5" t="s">
        <v>609</v>
      </c>
      <c r="D132" s="9" t="s">
        <v>172</v>
      </c>
      <c r="E132" s="4" t="s">
        <v>610</v>
      </c>
      <c r="F132" s="4" t="s">
        <v>611</v>
      </c>
      <c r="G132" s="4" t="s">
        <v>20</v>
      </c>
      <c r="H132" s="4">
        <v>3.3</v>
      </c>
      <c r="I132" s="4">
        <v>3.4</v>
      </c>
      <c r="J132" s="4" t="s">
        <v>21</v>
      </c>
      <c r="K132" s="4">
        <v>0.6</v>
      </c>
      <c r="L132" s="4">
        <v>5.3699999999999998E-3</v>
      </c>
      <c r="M132" s="4">
        <v>0.61199999999999999</v>
      </c>
      <c r="N132" s="4">
        <v>5.9</v>
      </c>
      <c r="O132" s="7" t="s">
        <v>612</v>
      </c>
      <c r="P132">
        <f>SUM(A132:O132)</f>
        <v>143.81737000000001</v>
      </c>
    </row>
    <row r="133" spans="1:16" ht="46.8" hidden="1">
      <c r="A133" s="4">
        <v>131</v>
      </c>
      <c r="B133" s="5" t="s">
        <v>613</v>
      </c>
      <c r="C133" s="5" t="s">
        <v>614</v>
      </c>
      <c r="D133" s="9" t="s">
        <v>172</v>
      </c>
      <c r="E133" s="4" t="s">
        <v>25</v>
      </c>
      <c r="F133" s="4" t="s">
        <v>615</v>
      </c>
      <c r="G133" s="4" t="s">
        <v>20</v>
      </c>
      <c r="H133" s="4">
        <v>4.0999999999999996</v>
      </c>
      <c r="I133" s="4">
        <v>3.5</v>
      </c>
      <c r="J133" s="4" t="s">
        <v>21</v>
      </c>
      <c r="K133" s="4">
        <v>1.37</v>
      </c>
      <c r="L133" s="4">
        <v>8.1899999999999994E-3</v>
      </c>
      <c r="M133" s="4">
        <v>0.77300000000000002</v>
      </c>
      <c r="N133" s="4">
        <v>9.6999999999999993</v>
      </c>
      <c r="O133" s="7" t="s">
        <v>616</v>
      </c>
      <c r="P133">
        <f>SUM(A133:O133)</f>
        <v>150.45119</v>
      </c>
    </row>
    <row r="134" spans="1:16" ht="31.2" hidden="1">
      <c r="A134" s="4">
        <v>132</v>
      </c>
      <c r="B134" s="5" t="s">
        <v>617</v>
      </c>
      <c r="C134" s="5" t="s">
        <v>618</v>
      </c>
      <c r="D134" s="9" t="s">
        <v>172</v>
      </c>
      <c r="E134" s="4" t="s">
        <v>619</v>
      </c>
      <c r="F134" s="4" t="s">
        <v>620</v>
      </c>
      <c r="G134" s="4" t="s">
        <v>20</v>
      </c>
      <c r="H134" s="4">
        <v>4.7</v>
      </c>
      <c r="I134" s="4">
        <v>5.4</v>
      </c>
      <c r="J134" s="4" t="s">
        <v>21</v>
      </c>
      <c r="K134" s="4">
        <v>0.89</v>
      </c>
      <c r="L134" s="4">
        <v>6.7000000000000002E-3</v>
      </c>
      <c r="M134" s="4">
        <v>1.57</v>
      </c>
      <c r="N134" s="4">
        <v>7.7</v>
      </c>
      <c r="O134" s="7" t="s">
        <v>621</v>
      </c>
      <c r="P134">
        <f>SUM(A134:O134)</f>
        <v>152.26669999999996</v>
      </c>
    </row>
    <row r="135" spans="1:16" ht="31.2" hidden="1">
      <c r="A135" s="4">
        <v>133</v>
      </c>
      <c r="B135" s="5" t="s">
        <v>622</v>
      </c>
      <c r="C135" s="5" t="s">
        <v>623</v>
      </c>
      <c r="D135" s="9" t="s">
        <v>172</v>
      </c>
      <c r="E135" s="4" t="s">
        <v>624</v>
      </c>
      <c r="F135" s="4" t="s">
        <v>624</v>
      </c>
      <c r="G135" s="4" t="s">
        <v>20</v>
      </c>
      <c r="H135" s="4">
        <v>4.5999999999999996</v>
      </c>
      <c r="I135" s="4">
        <v>4.9000000000000004</v>
      </c>
      <c r="J135" s="4" t="s">
        <v>21</v>
      </c>
      <c r="K135" s="4">
        <v>0.97</v>
      </c>
      <c r="L135" s="4">
        <v>1.125E-2</v>
      </c>
      <c r="M135" s="4">
        <v>0.97099999999999997</v>
      </c>
      <c r="N135" s="4">
        <v>10.8</v>
      </c>
      <c r="O135" s="7" t="s">
        <v>625</v>
      </c>
      <c r="P135">
        <f>SUM(A135:O135)</f>
        <v>155.25225</v>
      </c>
    </row>
    <row r="136" spans="1:16" ht="46.8" hidden="1">
      <c r="A136" s="4">
        <v>134</v>
      </c>
      <c r="B136" s="5" t="s">
        <v>626</v>
      </c>
      <c r="C136" s="5" t="s">
        <v>627</v>
      </c>
      <c r="D136" s="9" t="s">
        <v>172</v>
      </c>
      <c r="E136" s="4" t="s">
        <v>628</v>
      </c>
      <c r="F136" s="4" t="s">
        <v>629</v>
      </c>
      <c r="G136" s="4" t="s">
        <v>20</v>
      </c>
      <c r="H136" s="4">
        <v>3.6</v>
      </c>
      <c r="I136" s="4">
        <v>3.4</v>
      </c>
      <c r="J136" s="4" t="s">
        <v>21</v>
      </c>
      <c r="K136" s="4">
        <v>0.68</v>
      </c>
      <c r="L136" s="4">
        <v>8.8199999999999997E-3</v>
      </c>
      <c r="M136" s="4">
        <v>0.61099999999999999</v>
      </c>
      <c r="N136" s="4">
        <v>7.2</v>
      </c>
      <c r="O136" s="7" t="s">
        <v>630</v>
      </c>
      <c r="P136">
        <f>SUM(A136:O136)</f>
        <v>149.49981999999997</v>
      </c>
    </row>
    <row r="137" spans="1:16" ht="31.2" hidden="1">
      <c r="A137" s="4">
        <v>135</v>
      </c>
      <c r="B137" s="5" t="s">
        <v>631</v>
      </c>
      <c r="C137" s="5" t="s">
        <v>632</v>
      </c>
      <c r="D137" s="9" t="s">
        <v>172</v>
      </c>
      <c r="E137" s="4" t="s">
        <v>633</v>
      </c>
      <c r="F137" s="4" t="s">
        <v>634</v>
      </c>
      <c r="G137" s="4" t="s">
        <v>20</v>
      </c>
      <c r="H137" s="4">
        <v>4.9000000000000004</v>
      </c>
      <c r="I137" s="4">
        <v>4.5</v>
      </c>
      <c r="J137" s="4" t="s">
        <v>21</v>
      </c>
      <c r="K137" s="4">
        <v>1.06</v>
      </c>
      <c r="L137" s="4">
        <v>7.5700000000000003E-3</v>
      </c>
      <c r="M137" s="4">
        <v>0.95099999999999996</v>
      </c>
      <c r="N137" s="4">
        <v>9.3000000000000007</v>
      </c>
      <c r="O137" s="7" t="s">
        <v>635</v>
      </c>
      <c r="P137">
        <f>SUM(A137:O137)</f>
        <v>155.71857</v>
      </c>
    </row>
    <row r="138" spans="1:16" ht="31.2">
      <c r="A138" s="4">
        <v>136</v>
      </c>
      <c r="B138" s="5" t="s">
        <v>636</v>
      </c>
      <c r="C138" s="5" t="s">
        <v>637</v>
      </c>
      <c r="D138" s="9" t="s">
        <v>172</v>
      </c>
      <c r="E138" s="4" t="s">
        <v>638</v>
      </c>
      <c r="F138" s="4" t="s">
        <v>639</v>
      </c>
      <c r="G138" s="4" t="s">
        <v>20</v>
      </c>
      <c r="H138" s="4">
        <v>9.9</v>
      </c>
      <c r="I138" s="4">
        <v>9.4</v>
      </c>
      <c r="J138" s="4" t="s">
        <v>46</v>
      </c>
      <c r="K138" s="4">
        <v>1.94</v>
      </c>
      <c r="L138" s="4">
        <v>7.7000000000000002E-3</v>
      </c>
      <c r="M138" s="4">
        <v>1.0920000000000001</v>
      </c>
      <c r="N138" s="4">
        <v>8.1</v>
      </c>
      <c r="O138" s="7" t="s">
        <v>640</v>
      </c>
      <c r="P138">
        <f>SUM(A138:O138)</f>
        <v>166.43970000000002</v>
      </c>
    </row>
    <row r="139" spans="1:16" ht="31.2">
      <c r="A139" s="4">
        <v>137</v>
      </c>
      <c r="B139" s="5" t="s">
        <v>641</v>
      </c>
      <c r="C139" s="5" t="s">
        <v>642</v>
      </c>
      <c r="D139" s="9" t="s">
        <v>172</v>
      </c>
      <c r="E139" s="4" t="s">
        <v>643</v>
      </c>
      <c r="F139" s="4" t="s">
        <v>644</v>
      </c>
      <c r="G139" s="4" t="s">
        <v>20</v>
      </c>
      <c r="H139" s="4">
        <v>5.3</v>
      </c>
      <c r="I139" s="4">
        <v>5</v>
      </c>
      <c r="J139" s="4" t="s">
        <v>46</v>
      </c>
      <c r="K139" s="4">
        <v>1.1000000000000001</v>
      </c>
      <c r="L139" s="4">
        <v>1.2239999999999999E-2</v>
      </c>
      <c r="M139" s="4">
        <v>1.843</v>
      </c>
      <c r="N139" s="4">
        <v>8.1</v>
      </c>
      <c r="O139" s="7" t="s">
        <v>645</v>
      </c>
      <c r="P139">
        <f>SUM(A139:O139)</f>
        <v>158.35523999999998</v>
      </c>
    </row>
    <row r="140" spans="1:16" ht="31.2" hidden="1">
      <c r="A140" s="4">
        <v>138</v>
      </c>
      <c r="B140" s="5" t="s">
        <v>646</v>
      </c>
      <c r="C140" s="5" t="s">
        <v>647</v>
      </c>
      <c r="D140" s="9" t="s">
        <v>172</v>
      </c>
      <c r="E140" s="4" t="s">
        <v>648</v>
      </c>
      <c r="F140" s="4" t="s">
        <v>649</v>
      </c>
      <c r="G140" s="4" t="s">
        <v>20</v>
      </c>
      <c r="H140" s="4">
        <v>4.4000000000000004</v>
      </c>
      <c r="I140" s="4">
        <v>5.2</v>
      </c>
      <c r="J140" s="4" t="s">
        <v>21</v>
      </c>
      <c r="K140" s="4">
        <v>0.86</v>
      </c>
      <c r="L140" s="4">
        <v>1.34E-2</v>
      </c>
      <c r="M140" s="4">
        <v>1.4319999999999999</v>
      </c>
      <c r="N140" s="4">
        <v>11.1</v>
      </c>
      <c r="O140" s="7" t="s">
        <v>650</v>
      </c>
      <c r="P140">
        <f>SUM(A140:O140)</f>
        <v>161.00539999999998</v>
      </c>
    </row>
    <row r="141" spans="1:16" ht="31.2">
      <c r="A141" s="4">
        <v>139</v>
      </c>
      <c r="B141" s="5" t="s">
        <v>651</v>
      </c>
      <c r="C141" s="5" t="s">
        <v>652</v>
      </c>
      <c r="D141" s="9" t="s">
        <v>172</v>
      </c>
      <c r="E141" s="4" t="s">
        <v>653</v>
      </c>
      <c r="F141" s="4" t="s">
        <v>654</v>
      </c>
      <c r="G141" s="4" t="s">
        <v>20</v>
      </c>
      <c r="H141" s="4">
        <v>11.3</v>
      </c>
      <c r="I141" s="4">
        <v>11.2</v>
      </c>
      <c r="J141" s="4" t="s">
        <v>46</v>
      </c>
      <c r="K141" s="4">
        <v>1.87</v>
      </c>
      <c r="L141" s="4">
        <v>7.9049999999999995E-2</v>
      </c>
      <c r="M141" s="4">
        <v>3.02</v>
      </c>
      <c r="N141" s="4">
        <v>28.2</v>
      </c>
      <c r="O141" s="7" t="s">
        <v>655</v>
      </c>
      <c r="P141">
        <f>SUM(A141:O141)</f>
        <v>194.66905</v>
      </c>
    </row>
    <row r="142" spans="1:16" ht="31.2">
      <c r="A142" s="4">
        <v>140</v>
      </c>
      <c r="B142" s="5" t="s">
        <v>656</v>
      </c>
      <c r="C142" s="5" t="s">
        <v>657</v>
      </c>
      <c r="D142" s="9" t="s">
        <v>172</v>
      </c>
      <c r="E142" s="4" t="s">
        <v>658</v>
      </c>
      <c r="F142" s="4" t="s">
        <v>659</v>
      </c>
      <c r="G142" s="4" t="s">
        <v>20</v>
      </c>
      <c r="H142" s="4">
        <v>6.8</v>
      </c>
      <c r="I142" s="4">
        <v>7.2</v>
      </c>
      <c r="J142" s="4" t="s">
        <v>46</v>
      </c>
      <c r="K142" s="4">
        <v>1.78</v>
      </c>
      <c r="L142" s="4">
        <v>1.503E-2</v>
      </c>
      <c r="M142" s="4">
        <v>1.486</v>
      </c>
      <c r="N142" s="4">
        <v>13</v>
      </c>
      <c r="O142" s="7" t="s">
        <v>660</v>
      </c>
      <c r="P142">
        <f>SUM(A142:O142)</f>
        <v>170.28102999999999</v>
      </c>
    </row>
    <row r="143" spans="1:16" ht="31.2" hidden="1">
      <c r="A143" s="4">
        <v>141</v>
      </c>
      <c r="B143" s="5" t="s">
        <v>661</v>
      </c>
      <c r="C143" s="5" t="s">
        <v>662</v>
      </c>
      <c r="D143" s="9" t="s">
        <v>172</v>
      </c>
      <c r="E143" s="4" t="s">
        <v>663</v>
      </c>
      <c r="F143" s="4" t="s">
        <v>664</v>
      </c>
      <c r="G143" s="4" t="s">
        <v>20</v>
      </c>
      <c r="H143" s="4">
        <v>2.7</v>
      </c>
      <c r="I143" s="4">
        <v>2.6</v>
      </c>
      <c r="J143" s="4" t="s">
        <v>32</v>
      </c>
      <c r="K143" s="4">
        <v>0.53</v>
      </c>
      <c r="L143" s="4">
        <v>1.4300000000000001E-3</v>
      </c>
      <c r="M143" s="4">
        <v>0.503</v>
      </c>
      <c r="N143" s="4">
        <v>4.5999999999999996</v>
      </c>
      <c r="O143" s="7" t="s">
        <v>665</v>
      </c>
      <c r="P143">
        <f>SUM(A143:O143)</f>
        <v>151.93442999999996</v>
      </c>
    </row>
    <row r="144" spans="1:16" ht="31.2" hidden="1">
      <c r="A144" s="4">
        <v>142</v>
      </c>
      <c r="B144" s="5" t="s">
        <v>666</v>
      </c>
      <c r="C144" s="5" t="s">
        <v>667</v>
      </c>
      <c r="D144" s="9" t="s">
        <v>172</v>
      </c>
      <c r="E144" s="4" t="s">
        <v>668</v>
      </c>
      <c r="F144" s="4" t="s">
        <v>669</v>
      </c>
      <c r="G144" s="4" t="s">
        <v>20</v>
      </c>
      <c r="H144" s="4">
        <v>3.3</v>
      </c>
      <c r="I144" s="4">
        <v>3.3</v>
      </c>
      <c r="J144" s="4" t="s">
        <v>21</v>
      </c>
      <c r="K144" s="4">
        <v>0.67</v>
      </c>
      <c r="L144" s="4">
        <v>5.94E-3</v>
      </c>
      <c r="M144" s="4">
        <v>0.5</v>
      </c>
      <c r="N144" s="4">
        <v>7</v>
      </c>
      <c r="O144" s="7" t="s">
        <v>670</v>
      </c>
      <c r="P144">
        <f>SUM(A144:O144)</f>
        <v>156.77594000000002</v>
      </c>
    </row>
    <row r="145" spans="1:16" ht="31.2" hidden="1">
      <c r="A145" s="4">
        <v>143</v>
      </c>
      <c r="B145" s="5" t="s">
        <v>671</v>
      </c>
      <c r="C145" s="5" t="s">
        <v>672</v>
      </c>
      <c r="D145" s="9" t="s">
        <v>172</v>
      </c>
      <c r="E145" s="4" t="s">
        <v>673</v>
      </c>
      <c r="F145" s="4" t="s">
        <v>674</v>
      </c>
      <c r="G145" s="4" t="s">
        <v>20</v>
      </c>
      <c r="H145" s="4">
        <v>2.5</v>
      </c>
      <c r="I145" s="4">
        <v>2.9</v>
      </c>
      <c r="J145" s="4" t="s">
        <v>21</v>
      </c>
      <c r="K145" s="4">
        <v>0.8</v>
      </c>
      <c r="L145" s="4">
        <v>1.15E-3</v>
      </c>
      <c r="M145" s="4">
        <v>0.44800000000000001</v>
      </c>
      <c r="N145" s="4">
        <v>8.9</v>
      </c>
      <c r="O145" s="7" t="s">
        <v>675</v>
      </c>
      <c r="P145">
        <f>SUM(A145:O145)</f>
        <v>158.54915000000003</v>
      </c>
    </row>
    <row r="146" spans="1:16" ht="31.2" hidden="1">
      <c r="A146" s="4">
        <v>144</v>
      </c>
      <c r="B146" s="5" t="s">
        <v>676</v>
      </c>
      <c r="C146" s="5" t="s">
        <v>677</v>
      </c>
      <c r="D146" s="9" t="s">
        <v>172</v>
      </c>
      <c r="E146" s="4" t="s">
        <v>678</v>
      </c>
      <c r="F146" s="4" t="s">
        <v>679</v>
      </c>
      <c r="G146" s="4" t="s">
        <v>20</v>
      </c>
      <c r="H146" s="4">
        <v>2.6</v>
      </c>
      <c r="I146" s="4">
        <v>2.4</v>
      </c>
      <c r="J146" s="4" t="s">
        <v>32</v>
      </c>
      <c r="K146" s="4">
        <v>0.51</v>
      </c>
      <c r="L146" s="4">
        <v>4.4999999999999997E-3</v>
      </c>
      <c r="M146" s="4">
        <v>0.46600000000000003</v>
      </c>
      <c r="N146" s="4">
        <v>5.7</v>
      </c>
      <c r="O146" s="7" t="s">
        <v>680</v>
      </c>
      <c r="P146">
        <f>SUM(A146:O146)</f>
        <v>155.68049999999999</v>
      </c>
    </row>
    <row r="147" spans="1:16" ht="31.2" hidden="1">
      <c r="A147" s="4">
        <v>145</v>
      </c>
      <c r="B147" s="5" t="s">
        <v>681</v>
      </c>
      <c r="C147" s="5" t="s">
        <v>682</v>
      </c>
      <c r="D147" s="9" t="s">
        <v>172</v>
      </c>
      <c r="E147" s="4" t="s">
        <v>683</v>
      </c>
      <c r="F147" s="4" t="s">
        <v>684</v>
      </c>
      <c r="G147" s="4" t="s">
        <v>20</v>
      </c>
      <c r="H147" s="4">
        <v>3.6</v>
      </c>
      <c r="I147" s="4">
        <v>3.6</v>
      </c>
      <c r="J147" s="4" t="s">
        <v>21</v>
      </c>
      <c r="K147" s="4">
        <v>0.68</v>
      </c>
      <c r="L147" s="4">
        <v>2.5850000000000001E-2</v>
      </c>
      <c r="M147" s="4">
        <v>0.64</v>
      </c>
      <c r="N147" s="4">
        <v>6.5</v>
      </c>
      <c r="O147" s="7" t="s">
        <v>685</v>
      </c>
      <c r="P147">
        <f>SUM(A147:O147)</f>
        <v>160.04584999999997</v>
      </c>
    </row>
    <row r="148" spans="1:16" ht="46.8" hidden="1">
      <c r="A148" s="4">
        <v>146</v>
      </c>
      <c r="B148" s="5" t="s">
        <v>686</v>
      </c>
      <c r="C148" s="5" t="s">
        <v>687</v>
      </c>
      <c r="D148" s="9" t="s">
        <v>172</v>
      </c>
      <c r="E148" s="4" t="s">
        <v>688</v>
      </c>
      <c r="F148" s="4" t="s">
        <v>688</v>
      </c>
      <c r="G148" s="4" t="s">
        <v>20</v>
      </c>
      <c r="H148" s="4">
        <v>6</v>
      </c>
      <c r="I148" s="4">
        <v>6.4</v>
      </c>
      <c r="J148" s="4" t="s">
        <v>21</v>
      </c>
      <c r="K148" s="4">
        <v>0.95</v>
      </c>
      <c r="L148" s="4">
        <v>1.035E-2</v>
      </c>
      <c r="M148" s="4">
        <v>1.466</v>
      </c>
      <c r="N148" s="4">
        <v>11.5</v>
      </c>
      <c r="O148" s="7" t="s">
        <v>689</v>
      </c>
      <c r="P148">
        <f>SUM(A148:O148)</f>
        <v>172.32634999999999</v>
      </c>
    </row>
    <row r="149" spans="1:16" ht="31.2" hidden="1">
      <c r="A149" s="4">
        <v>147</v>
      </c>
      <c r="B149" s="5" t="s">
        <v>690</v>
      </c>
      <c r="C149" s="5" t="s">
        <v>691</v>
      </c>
      <c r="D149" s="9" t="s">
        <v>172</v>
      </c>
      <c r="E149" s="4" t="s">
        <v>692</v>
      </c>
      <c r="F149" s="4" t="s">
        <v>692</v>
      </c>
      <c r="G149" s="4" t="s">
        <v>20</v>
      </c>
      <c r="H149" s="4">
        <v>4.8</v>
      </c>
      <c r="I149" s="4">
        <v>4.7</v>
      </c>
      <c r="J149" s="4" t="s">
        <v>21</v>
      </c>
      <c r="K149" s="4">
        <v>1.28</v>
      </c>
      <c r="L149" s="4">
        <v>4.4799999999999996E-3</v>
      </c>
      <c r="M149" s="4">
        <v>1.0209999999999999</v>
      </c>
      <c r="N149" s="4">
        <v>11.8</v>
      </c>
      <c r="O149" s="7" t="s">
        <v>693</v>
      </c>
      <c r="P149">
        <f>SUM(A149:O149)</f>
        <v>170.60548</v>
      </c>
    </row>
    <row r="150" spans="1:16" ht="31.2" hidden="1">
      <c r="A150" s="4">
        <v>148</v>
      </c>
      <c r="B150" s="5" t="s">
        <v>694</v>
      </c>
      <c r="C150" s="5" t="s">
        <v>695</v>
      </c>
      <c r="D150" s="9" t="s">
        <v>172</v>
      </c>
      <c r="E150" s="4" t="s">
        <v>696</v>
      </c>
      <c r="F150" s="4" t="s">
        <v>697</v>
      </c>
      <c r="G150" s="4" t="s">
        <v>20</v>
      </c>
      <c r="H150" s="4">
        <v>6.1</v>
      </c>
      <c r="I150" s="4">
        <v>6.4</v>
      </c>
      <c r="J150" s="4" t="s">
        <v>21</v>
      </c>
      <c r="K150" s="4">
        <v>1.0900000000000001</v>
      </c>
      <c r="L150" s="4">
        <v>1.5610000000000001E-2</v>
      </c>
      <c r="M150" s="4">
        <v>1.57</v>
      </c>
      <c r="N150" s="4">
        <v>13.3</v>
      </c>
      <c r="O150" s="7" t="s">
        <v>698</v>
      </c>
      <c r="P150">
        <f>SUM(A150:O150)</f>
        <v>176.47561000000002</v>
      </c>
    </row>
    <row r="151" spans="1:16" ht="31.2" hidden="1">
      <c r="A151" s="4">
        <v>149</v>
      </c>
      <c r="B151" s="5" t="s">
        <v>699</v>
      </c>
      <c r="C151" s="5" t="s">
        <v>700</v>
      </c>
      <c r="D151" s="9" t="s">
        <v>172</v>
      </c>
      <c r="E151" s="4" t="s">
        <v>25</v>
      </c>
      <c r="F151" s="4" t="s">
        <v>701</v>
      </c>
      <c r="G151" s="4" t="s">
        <v>31</v>
      </c>
      <c r="H151" s="4">
        <v>3.7</v>
      </c>
      <c r="I151" s="4">
        <v>3.7</v>
      </c>
      <c r="J151" s="4" t="s">
        <v>32</v>
      </c>
      <c r="K151" s="4">
        <v>0.53</v>
      </c>
      <c r="L151" s="4">
        <v>6.4999999999999997E-4</v>
      </c>
      <c r="M151" s="4">
        <v>0.97299999999999998</v>
      </c>
      <c r="N151" s="4">
        <v>4.8</v>
      </c>
      <c r="O151" s="7" t="s">
        <v>702</v>
      </c>
      <c r="P151">
        <f>SUM(A151:O151)</f>
        <v>162.70365000000001</v>
      </c>
    </row>
    <row r="152" spans="1:16" ht="31.2">
      <c r="A152" s="4">
        <v>150</v>
      </c>
      <c r="B152" s="5" t="s">
        <v>703</v>
      </c>
      <c r="C152" s="5" t="s">
        <v>704</v>
      </c>
      <c r="D152" s="9" t="s">
        <v>172</v>
      </c>
      <c r="E152" s="4" t="s">
        <v>705</v>
      </c>
      <c r="F152" s="4" t="s">
        <v>706</v>
      </c>
      <c r="G152" s="4" t="s">
        <v>707</v>
      </c>
      <c r="H152" s="4">
        <v>6.2</v>
      </c>
      <c r="I152" s="4">
        <v>6.2</v>
      </c>
      <c r="J152" s="4" t="s">
        <v>46</v>
      </c>
      <c r="K152" s="4">
        <v>1.1299999999999999</v>
      </c>
      <c r="L152" s="4">
        <v>1.405E-2</v>
      </c>
      <c r="M152" s="4">
        <v>0.97699999999999998</v>
      </c>
      <c r="N152" s="4">
        <v>13</v>
      </c>
      <c r="O152" s="7" t="s">
        <v>708</v>
      </c>
      <c r="P152">
        <f>SUM(A152:O152)</f>
        <v>177.52104999999997</v>
      </c>
    </row>
    <row r="153" spans="1:16" ht="31.2">
      <c r="A153" s="4">
        <v>151</v>
      </c>
      <c r="B153" s="5" t="s">
        <v>709</v>
      </c>
      <c r="C153" s="5" t="s">
        <v>710</v>
      </c>
      <c r="D153" s="9" t="s">
        <v>172</v>
      </c>
      <c r="E153" s="4" t="s">
        <v>711</v>
      </c>
      <c r="F153" s="4" t="s">
        <v>712</v>
      </c>
      <c r="G153" s="4" t="s">
        <v>20</v>
      </c>
      <c r="H153" s="4">
        <v>15.9</v>
      </c>
      <c r="I153" s="4">
        <v>16</v>
      </c>
      <c r="J153" s="4" t="s">
        <v>46</v>
      </c>
      <c r="K153" s="4">
        <v>2.96</v>
      </c>
      <c r="L153" s="4">
        <v>1.2489999999999999E-2</v>
      </c>
      <c r="M153" s="4">
        <v>3.0289999999999999</v>
      </c>
      <c r="N153" s="4">
        <v>22.1</v>
      </c>
      <c r="O153" s="7" t="s">
        <v>713</v>
      </c>
      <c r="P153">
        <f>SUM(A153:O153)</f>
        <v>211.00149000000002</v>
      </c>
    </row>
    <row r="154" spans="1:16" ht="31.2" hidden="1">
      <c r="A154" s="4">
        <v>152</v>
      </c>
      <c r="B154" s="5" t="s">
        <v>714</v>
      </c>
      <c r="C154" s="5" t="s">
        <v>715</v>
      </c>
      <c r="D154" s="9" t="s">
        <v>172</v>
      </c>
      <c r="E154" s="4" t="s">
        <v>716</v>
      </c>
      <c r="F154" s="4" t="s">
        <v>716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7" t="s">
        <v>717</v>
      </c>
      <c r="P154">
        <f>SUM(A154:O154)</f>
        <v>152</v>
      </c>
    </row>
    <row r="155" spans="1:16" ht="31.2">
      <c r="A155" s="4">
        <v>153</v>
      </c>
      <c r="B155" s="5" t="s">
        <v>718</v>
      </c>
      <c r="C155" s="5" t="s">
        <v>719</v>
      </c>
      <c r="D155" s="9" t="s">
        <v>172</v>
      </c>
      <c r="E155" s="4" t="s">
        <v>720</v>
      </c>
      <c r="F155" s="4" t="s">
        <v>721</v>
      </c>
      <c r="G155" s="4" t="s">
        <v>20</v>
      </c>
      <c r="H155" s="4">
        <v>10.199999999999999</v>
      </c>
      <c r="I155" s="4">
        <v>9.4</v>
      </c>
      <c r="J155" s="4" t="s">
        <v>46</v>
      </c>
      <c r="K155" s="4">
        <v>2.17</v>
      </c>
      <c r="L155" s="4">
        <v>3.5430000000000003E-2</v>
      </c>
      <c r="M155" s="4">
        <v>2.3290000000000002</v>
      </c>
      <c r="N155" s="4">
        <v>20.5</v>
      </c>
      <c r="O155" s="7" t="s">
        <v>722</v>
      </c>
      <c r="P155">
        <f>SUM(A155:O155)</f>
        <v>197.63442999999998</v>
      </c>
    </row>
    <row r="156" spans="1:16" ht="31.2" hidden="1">
      <c r="A156" s="4">
        <v>154</v>
      </c>
      <c r="B156" s="5" t="s">
        <v>723</v>
      </c>
      <c r="C156" s="5" t="s">
        <v>724</v>
      </c>
      <c r="D156" s="9" t="s">
        <v>172</v>
      </c>
      <c r="E156" s="4" t="s">
        <v>725</v>
      </c>
      <c r="F156" s="4" t="s">
        <v>726</v>
      </c>
      <c r="G156" s="4" t="s">
        <v>20</v>
      </c>
      <c r="H156" s="4">
        <v>3</v>
      </c>
      <c r="I156" s="4">
        <v>3.1</v>
      </c>
      <c r="J156" s="4" t="s">
        <v>32</v>
      </c>
      <c r="K156" s="4">
        <v>0.64</v>
      </c>
      <c r="L156" s="4">
        <v>9.3999999999999997E-4</v>
      </c>
      <c r="M156" s="4">
        <v>0.433</v>
      </c>
      <c r="N156" s="4">
        <v>5.7</v>
      </c>
      <c r="O156" s="7" t="s">
        <v>727</v>
      </c>
      <c r="P156">
        <f>SUM(A156:O156)</f>
        <v>166.87393999999998</v>
      </c>
    </row>
    <row r="157" spans="1:16" ht="31.2">
      <c r="A157" s="4">
        <v>155</v>
      </c>
      <c r="B157" s="5" t="s">
        <v>728</v>
      </c>
      <c r="C157" s="5" t="s">
        <v>729</v>
      </c>
      <c r="D157" s="9" t="s">
        <v>172</v>
      </c>
      <c r="E157" s="4" t="s">
        <v>730</v>
      </c>
      <c r="F157" s="4" t="s">
        <v>731</v>
      </c>
      <c r="G157" s="4" t="s">
        <v>20</v>
      </c>
      <c r="H157" s="4">
        <v>9.4</v>
      </c>
      <c r="I157" s="4">
        <v>9.4</v>
      </c>
      <c r="J157" s="4" t="s">
        <v>46</v>
      </c>
      <c r="K157" s="4">
        <v>1.94</v>
      </c>
      <c r="L157" s="4">
        <v>0.13431000000000001</v>
      </c>
      <c r="M157" s="4">
        <v>1.907</v>
      </c>
      <c r="N157" s="4">
        <v>16.7</v>
      </c>
      <c r="O157" s="7" t="s">
        <v>732</v>
      </c>
      <c r="P157">
        <f>SUM(A157:O157)</f>
        <v>194.48131000000001</v>
      </c>
    </row>
    <row r="158" spans="1:16" ht="31.2">
      <c r="A158" s="4">
        <v>156</v>
      </c>
      <c r="B158" s="5" t="s">
        <v>733</v>
      </c>
      <c r="C158" s="5" t="s">
        <v>734</v>
      </c>
      <c r="D158" s="9" t="s">
        <v>172</v>
      </c>
      <c r="E158" s="4" t="s">
        <v>735</v>
      </c>
      <c r="F158" s="4" t="s">
        <v>735</v>
      </c>
      <c r="G158" s="4" t="s">
        <v>20</v>
      </c>
      <c r="H158" s="4">
        <v>6.9</v>
      </c>
      <c r="I158" s="4">
        <v>5.9</v>
      </c>
      <c r="J158" s="4" t="s">
        <v>46</v>
      </c>
      <c r="K158" s="4">
        <v>1.44</v>
      </c>
      <c r="L158" s="4">
        <v>7.2300000000000003E-3</v>
      </c>
      <c r="M158" s="4">
        <v>1.3129999999999999</v>
      </c>
      <c r="N158" s="4">
        <v>13.4</v>
      </c>
      <c r="O158" s="7" t="s">
        <v>736</v>
      </c>
      <c r="P158">
        <f>SUM(A158:O158)</f>
        <v>184.96023</v>
      </c>
    </row>
    <row r="159" spans="1:16" ht="31.2" hidden="1">
      <c r="A159" s="4">
        <v>157</v>
      </c>
      <c r="B159" s="5" t="s">
        <v>737</v>
      </c>
      <c r="C159" s="5" t="s">
        <v>738</v>
      </c>
      <c r="D159" s="9" t="s">
        <v>172</v>
      </c>
      <c r="E159" s="4" t="s">
        <v>739</v>
      </c>
      <c r="F159" s="4" t="s">
        <v>740</v>
      </c>
      <c r="G159" s="4" t="s">
        <v>20</v>
      </c>
      <c r="H159" s="4">
        <v>3.1</v>
      </c>
      <c r="I159" s="4">
        <v>4</v>
      </c>
      <c r="J159" s="4" t="s">
        <v>21</v>
      </c>
      <c r="K159" s="4">
        <v>0.52</v>
      </c>
      <c r="L159" s="4">
        <v>2.2899999999999999E-3</v>
      </c>
      <c r="M159" s="4">
        <v>0.68899999999999995</v>
      </c>
      <c r="N159" s="4">
        <v>5.5</v>
      </c>
      <c r="O159" s="7" t="s">
        <v>741</v>
      </c>
      <c r="P159">
        <f>SUM(A159:O159)</f>
        <v>170.81128999999999</v>
      </c>
    </row>
    <row r="160" spans="1:16" ht="31.2" hidden="1">
      <c r="A160" s="4">
        <v>158</v>
      </c>
      <c r="B160" s="5" t="s">
        <v>742</v>
      </c>
      <c r="C160" s="5" t="s">
        <v>743</v>
      </c>
      <c r="D160" s="9" t="s">
        <v>172</v>
      </c>
      <c r="E160" s="4" t="s">
        <v>744</v>
      </c>
      <c r="F160" s="4" t="s">
        <v>745</v>
      </c>
      <c r="G160" s="4" t="s">
        <v>20</v>
      </c>
      <c r="H160" s="4">
        <v>4.4000000000000004</v>
      </c>
      <c r="I160" s="4">
        <v>5.6</v>
      </c>
      <c r="J160" s="4" t="s">
        <v>21</v>
      </c>
      <c r="K160" s="4">
        <v>0.76</v>
      </c>
      <c r="L160" s="4">
        <v>3.63E-3</v>
      </c>
      <c r="M160" s="4">
        <v>1.103</v>
      </c>
      <c r="N160" s="4">
        <v>10.6</v>
      </c>
      <c r="O160" s="7" t="s">
        <v>746</v>
      </c>
      <c r="P160">
        <f>SUM(A160:O160)</f>
        <v>180.46662999999998</v>
      </c>
    </row>
    <row r="161" spans="1:16" ht="31.2">
      <c r="A161" s="4">
        <v>159</v>
      </c>
      <c r="B161" s="5" t="s">
        <v>747</v>
      </c>
      <c r="C161" s="5" t="s">
        <v>748</v>
      </c>
      <c r="D161" s="9" t="s">
        <v>172</v>
      </c>
      <c r="E161" s="4" t="s">
        <v>749</v>
      </c>
      <c r="F161" s="4" t="s">
        <v>750</v>
      </c>
      <c r="G161" s="4" t="s">
        <v>20</v>
      </c>
      <c r="H161" s="4">
        <v>15.3</v>
      </c>
      <c r="I161" s="4">
        <v>14.9</v>
      </c>
      <c r="J161" s="4" t="s">
        <v>46</v>
      </c>
      <c r="K161" s="4">
        <v>2.23</v>
      </c>
      <c r="L161" s="4">
        <v>8.8120000000000004E-2</v>
      </c>
      <c r="M161" s="4">
        <v>3.931</v>
      </c>
      <c r="N161" s="4">
        <v>21.7</v>
      </c>
      <c r="O161" s="7" t="s">
        <v>751</v>
      </c>
      <c r="P161">
        <f>SUM(A161:O161)</f>
        <v>217.14912000000001</v>
      </c>
    </row>
    <row r="162" spans="1:16" ht="31.2">
      <c r="A162" s="4">
        <v>160</v>
      </c>
      <c r="B162" s="5" t="s">
        <v>752</v>
      </c>
      <c r="C162" s="5" t="s">
        <v>753</v>
      </c>
      <c r="D162" s="9" t="s">
        <v>172</v>
      </c>
      <c r="E162" s="4" t="s">
        <v>25</v>
      </c>
      <c r="F162" s="4" t="s">
        <v>754</v>
      </c>
      <c r="G162" s="4" t="s">
        <v>31</v>
      </c>
      <c r="H162" s="4">
        <v>7.4</v>
      </c>
      <c r="I162" s="4">
        <v>7.4</v>
      </c>
      <c r="J162" s="4" t="s">
        <v>46</v>
      </c>
      <c r="K162" s="4">
        <v>1.52</v>
      </c>
      <c r="L162" s="4">
        <v>1.01E-3</v>
      </c>
      <c r="M162" s="4">
        <v>1.5049999999999999</v>
      </c>
      <c r="N162" s="4">
        <v>6.9</v>
      </c>
      <c r="O162" s="7" t="s">
        <v>755</v>
      </c>
      <c r="P162">
        <f>SUM(A162:O162)</f>
        <v>184.72601000000003</v>
      </c>
    </row>
    <row r="163" spans="1:16" ht="31.2">
      <c r="A163" s="4">
        <v>161</v>
      </c>
      <c r="B163" s="5" t="s">
        <v>756</v>
      </c>
      <c r="C163" s="5" t="s">
        <v>757</v>
      </c>
      <c r="D163" s="9" t="s">
        <v>172</v>
      </c>
      <c r="E163" s="4" t="s">
        <v>758</v>
      </c>
      <c r="F163" s="4" t="s">
        <v>759</v>
      </c>
      <c r="G163" s="4" t="s">
        <v>20</v>
      </c>
      <c r="H163" s="4">
        <v>7.4</v>
      </c>
      <c r="I163" s="4">
        <v>7.8</v>
      </c>
      <c r="J163" s="4" t="s">
        <v>46</v>
      </c>
      <c r="K163" s="4">
        <v>1.79</v>
      </c>
      <c r="L163" s="4">
        <v>9.7350000000000006E-2</v>
      </c>
      <c r="M163" s="4">
        <v>1.8220000000000001</v>
      </c>
      <c r="N163" s="4">
        <v>17.600000000000001</v>
      </c>
      <c r="O163" s="7" t="s">
        <v>760</v>
      </c>
      <c r="P163">
        <f>SUM(A163:O163)</f>
        <v>197.50935000000001</v>
      </c>
    </row>
    <row r="164" spans="1:16" ht="31.2">
      <c r="A164" s="4">
        <v>162</v>
      </c>
      <c r="B164" s="5" t="s">
        <v>761</v>
      </c>
      <c r="C164" s="5" t="s">
        <v>762</v>
      </c>
      <c r="D164" s="9" t="s">
        <v>172</v>
      </c>
      <c r="E164" s="4" t="s">
        <v>763</v>
      </c>
      <c r="F164" s="4" t="s">
        <v>764</v>
      </c>
      <c r="G164" s="4" t="s">
        <v>20</v>
      </c>
      <c r="H164" s="4">
        <v>9.8000000000000007</v>
      </c>
      <c r="I164" s="4">
        <v>10.4</v>
      </c>
      <c r="J164" s="4" t="s">
        <v>46</v>
      </c>
      <c r="K164" s="4">
        <v>1.9</v>
      </c>
      <c r="L164" s="4">
        <v>8.6980000000000002E-2</v>
      </c>
      <c r="M164" s="4">
        <v>2.3260000000000001</v>
      </c>
      <c r="N164" s="4">
        <v>22.4</v>
      </c>
      <c r="O164" s="7" t="s">
        <v>765</v>
      </c>
      <c r="P164">
        <f>SUM(A164:O164)</f>
        <v>208.91298000000003</v>
      </c>
    </row>
    <row r="165" spans="1:16" ht="31.2">
      <c r="A165" s="4">
        <v>163</v>
      </c>
      <c r="B165" s="5" t="s">
        <v>766</v>
      </c>
      <c r="C165" s="5" t="s">
        <v>767</v>
      </c>
      <c r="D165" s="9" t="s">
        <v>172</v>
      </c>
      <c r="E165" s="4" t="s">
        <v>768</v>
      </c>
      <c r="F165" s="4" t="s">
        <v>769</v>
      </c>
      <c r="G165" s="4" t="s">
        <v>20</v>
      </c>
      <c r="H165" s="4">
        <v>5.2</v>
      </c>
      <c r="I165" s="4">
        <v>5.2</v>
      </c>
      <c r="J165" s="4" t="s">
        <v>46</v>
      </c>
      <c r="K165" s="4">
        <v>1.29</v>
      </c>
      <c r="L165" s="4">
        <v>3.092E-2</v>
      </c>
      <c r="M165" s="4">
        <v>1.1659999999999999</v>
      </c>
      <c r="N165" s="4">
        <v>11.5</v>
      </c>
      <c r="O165" s="7" t="s">
        <v>770</v>
      </c>
      <c r="P165">
        <f>SUM(A165:O165)</f>
        <v>187.38691999999998</v>
      </c>
    </row>
    <row r="166" spans="1:16" ht="31.2">
      <c r="A166" s="4">
        <v>164</v>
      </c>
      <c r="B166" s="5" t="s">
        <v>771</v>
      </c>
      <c r="C166" s="5" t="s">
        <v>772</v>
      </c>
      <c r="D166" s="9" t="s">
        <v>172</v>
      </c>
      <c r="E166" s="4" t="s">
        <v>773</v>
      </c>
      <c r="F166" s="4" t="s">
        <v>774</v>
      </c>
      <c r="G166" s="4" t="s">
        <v>20</v>
      </c>
      <c r="H166" s="4">
        <v>8.6999999999999993</v>
      </c>
      <c r="I166" s="4">
        <v>8.9</v>
      </c>
      <c r="J166" s="4" t="s">
        <v>46</v>
      </c>
      <c r="K166" s="4">
        <v>1.84</v>
      </c>
      <c r="L166" s="4">
        <v>3.124E-2</v>
      </c>
      <c r="M166" s="4">
        <v>1.9470000000000001</v>
      </c>
      <c r="N166" s="4">
        <v>12</v>
      </c>
      <c r="O166" s="7" t="s">
        <v>775</v>
      </c>
      <c r="P166">
        <f>SUM(A166:O166)</f>
        <v>197.41824</v>
      </c>
    </row>
    <row r="167" spans="1:16" ht="31.2" hidden="1">
      <c r="A167" s="4">
        <v>165</v>
      </c>
      <c r="B167" s="5" t="s">
        <v>776</v>
      </c>
      <c r="C167" s="5" t="s">
        <v>777</v>
      </c>
      <c r="D167" s="9" t="s">
        <v>172</v>
      </c>
      <c r="E167" s="4" t="s">
        <v>778</v>
      </c>
      <c r="F167" s="4" t="s">
        <v>779</v>
      </c>
      <c r="G167" s="4" t="s">
        <v>20</v>
      </c>
      <c r="H167" s="4">
        <v>2.6</v>
      </c>
      <c r="I167" s="4">
        <v>2.8</v>
      </c>
      <c r="J167" s="4" t="s">
        <v>32</v>
      </c>
      <c r="K167" s="4">
        <v>0.94</v>
      </c>
      <c r="L167" s="4">
        <v>1.9439999999999999E-2</v>
      </c>
      <c r="M167" s="4">
        <v>1.075</v>
      </c>
      <c r="N167" s="4">
        <v>5.5</v>
      </c>
      <c r="O167" s="7" t="s">
        <v>780</v>
      </c>
      <c r="P167">
        <f>SUM(A167:O167)</f>
        <v>177.93444</v>
      </c>
    </row>
    <row r="168" spans="1:16" ht="46.8">
      <c r="A168" s="4">
        <v>166</v>
      </c>
      <c r="B168" s="5" t="s">
        <v>781</v>
      </c>
      <c r="C168" s="5" t="s">
        <v>782</v>
      </c>
      <c r="D168" s="9" t="s">
        <v>172</v>
      </c>
      <c r="E168" s="4" t="s">
        <v>783</v>
      </c>
      <c r="F168" s="4" t="s">
        <v>784</v>
      </c>
      <c r="G168" s="4" t="s">
        <v>20</v>
      </c>
      <c r="H168" s="4">
        <v>7</v>
      </c>
      <c r="I168" s="4">
        <v>7.2</v>
      </c>
      <c r="J168" s="4" t="s">
        <v>46</v>
      </c>
      <c r="K168" s="4">
        <v>1.53</v>
      </c>
      <c r="L168" s="4">
        <v>8.3779999999999993E-2</v>
      </c>
      <c r="M168" s="4">
        <v>1.1919999999999999</v>
      </c>
      <c r="N168" s="4">
        <v>9.8000000000000007</v>
      </c>
      <c r="O168" s="7" t="s">
        <v>785</v>
      </c>
      <c r="P168">
        <f>SUM(A168:O168)</f>
        <v>192.80578</v>
      </c>
    </row>
    <row r="169" spans="1:16" ht="31.2">
      <c r="A169" s="4">
        <v>167</v>
      </c>
      <c r="B169" s="5" t="s">
        <v>786</v>
      </c>
      <c r="C169" s="5" t="s">
        <v>787</v>
      </c>
      <c r="D169" s="9" t="s">
        <v>172</v>
      </c>
      <c r="E169" s="4" t="s">
        <v>788</v>
      </c>
      <c r="F169" s="4" t="s">
        <v>789</v>
      </c>
      <c r="G169" s="4" t="s">
        <v>20</v>
      </c>
      <c r="H169" s="4">
        <v>9.1</v>
      </c>
      <c r="I169" s="4">
        <v>10.4</v>
      </c>
      <c r="J169" s="4" t="s">
        <v>46</v>
      </c>
      <c r="K169" s="4">
        <v>1.68</v>
      </c>
      <c r="L169" s="4">
        <v>9.2880000000000004E-2</v>
      </c>
      <c r="M169" s="4">
        <v>2.0169999999999999</v>
      </c>
      <c r="N169" s="4">
        <v>20.5</v>
      </c>
      <c r="O169" s="7" t="s">
        <v>790</v>
      </c>
      <c r="P169">
        <f>SUM(A169:O169)</f>
        <v>210.78988000000001</v>
      </c>
    </row>
    <row r="170" spans="1:16" ht="31.2" hidden="1">
      <c r="A170" s="4">
        <v>168</v>
      </c>
      <c r="B170" s="5" t="s">
        <v>791</v>
      </c>
      <c r="C170" s="5" t="s">
        <v>792</v>
      </c>
      <c r="D170" s="9" t="s">
        <v>172</v>
      </c>
      <c r="E170" s="4" t="s">
        <v>793</v>
      </c>
      <c r="F170" s="4" t="s">
        <v>794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4" t="s">
        <v>25</v>
      </c>
      <c r="M170" s="4" t="s">
        <v>25</v>
      </c>
      <c r="N170" s="4">
        <v>19.899999999999999</v>
      </c>
      <c r="O170" s="7" t="s">
        <v>795</v>
      </c>
      <c r="P170">
        <f>SUM(A170:O170)</f>
        <v>187.9</v>
      </c>
    </row>
    <row r="171" spans="1:16" ht="31.2">
      <c r="A171" s="4">
        <v>169</v>
      </c>
      <c r="B171" s="5" t="s">
        <v>796</v>
      </c>
      <c r="C171" s="5" t="s">
        <v>797</v>
      </c>
      <c r="D171" s="9" t="s">
        <v>172</v>
      </c>
      <c r="E171" s="4" t="s">
        <v>798</v>
      </c>
      <c r="F171" s="4" t="s">
        <v>799</v>
      </c>
      <c r="G171" s="4" t="s">
        <v>20</v>
      </c>
      <c r="H171" s="4">
        <v>11.6</v>
      </c>
      <c r="I171" s="4">
        <v>10.9</v>
      </c>
      <c r="J171" s="4" t="s">
        <v>46</v>
      </c>
      <c r="K171" s="4">
        <v>2.4</v>
      </c>
      <c r="L171" s="4">
        <v>5.0340000000000003E-2</v>
      </c>
      <c r="M171" s="4">
        <v>2.6749999999999998</v>
      </c>
      <c r="N171" s="4">
        <v>22.7</v>
      </c>
      <c r="O171" s="7" t="s">
        <v>800</v>
      </c>
      <c r="P171">
        <f>SUM(A171:O171)</f>
        <v>219.32534000000001</v>
      </c>
    </row>
    <row r="172" spans="1:16" ht="31.2">
      <c r="A172" s="4">
        <v>170</v>
      </c>
      <c r="B172" s="5" t="s">
        <v>801</v>
      </c>
      <c r="C172" s="5" t="s">
        <v>802</v>
      </c>
      <c r="D172" s="9" t="s">
        <v>172</v>
      </c>
      <c r="E172" s="4" t="s">
        <v>803</v>
      </c>
      <c r="F172" s="4" t="s">
        <v>803</v>
      </c>
      <c r="G172" s="4" t="s">
        <v>20</v>
      </c>
      <c r="H172" s="4">
        <v>7.4</v>
      </c>
      <c r="I172" s="4">
        <v>6.5</v>
      </c>
      <c r="J172" s="4" t="s">
        <v>46</v>
      </c>
      <c r="K172" s="4">
        <v>2.2200000000000002</v>
      </c>
      <c r="L172" s="4">
        <v>3.9399999999999999E-3</v>
      </c>
      <c r="M172" s="4">
        <v>1.181</v>
      </c>
      <c r="N172" s="4">
        <v>12.5</v>
      </c>
      <c r="O172" s="7" t="s">
        <v>804</v>
      </c>
      <c r="P172">
        <f>SUM(A172:O172)</f>
        <v>199.80494000000002</v>
      </c>
    </row>
    <row r="173" spans="1:16" ht="31.2" hidden="1">
      <c r="A173" s="4">
        <v>171</v>
      </c>
      <c r="B173" s="5" t="s">
        <v>805</v>
      </c>
      <c r="C173" s="5" t="s">
        <v>806</v>
      </c>
      <c r="D173" s="9" t="s">
        <v>172</v>
      </c>
      <c r="E173" s="4" t="s">
        <v>807</v>
      </c>
      <c r="F173" s="4" t="s">
        <v>808</v>
      </c>
      <c r="G173" s="4" t="s">
        <v>20</v>
      </c>
      <c r="H173" s="4">
        <v>1.9</v>
      </c>
      <c r="I173" s="4">
        <v>2.2000000000000002</v>
      </c>
      <c r="J173" s="4" t="s">
        <v>32</v>
      </c>
      <c r="K173" s="4">
        <v>0.39</v>
      </c>
      <c r="L173" s="4">
        <v>8.4200000000000004E-3</v>
      </c>
      <c r="M173" s="4">
        <v>0.45600000000000002</v>
      </c>
      <c r="N173" s="4">
        <v>4.8</v>
      </c>
      <c r="O173" s="7" t="s">
        <v>809</v>
      </c>
      <c r="P173">
        <f>SUM(A173:O173)</f>
        <v>180.75441999999998</v>
      </c>
    </row>
    <row r="174" spans="1:16" ht="31.2" hidden="1">
      <c r="A174" s="4">
        <v>172</v>
      </c>
      <c r="B174" s="5" t="s">
        <v>810</v>
      </c>
      <c r="C174" s="5" t="s">
        <v>811</v>
      </c>
      <c r="D174" s="9" t="s">
        <v>172</v>
      </c>
      <c r="E174" s="4" t="s">
        <v>25</v>
      </c>
      <c r="F174" s="4" t="s">
        <v>812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4" t="s">
        <v>25</v>
      </c>
      <c r="M174" s="4" t="s">
        <v>25</v>
      </c>
      <c r="N174" s="4" t="s">
        <v>25</v>
      </c>
      <c r="O174" s="7" t="s">
        <v>813</v>
      </c>
      <c r="P174">
        <f>SUM(A174:O174)</f>
        <v>172</v>
      </c>
    </row>
    <row r="175" spans="1:16" ht="31.2">
      <c r="A175" s="4">
        <v>173</v>
      </c>
      <c r="B175" s="5" t="s">
        <v>814</v>
      </c>
      <c r="C175" s="5" t="s">
        <v>815</v>
      </c>
      <c r="D175" s="9" t="s">
        <v>172</v>
      </c>
      <c r="E175" s="4" t="s">
        <v>816</v>
      </c>
      <c r="F175" s="4" t="s">
        <v>817</v>
      </c>
      <c r="G175" s="4" t="s">
        <v>20</v>
      </c>
      <c r="H175" s="4">
        <v>12.4</v>
      </c>
      <c r="I175" s="4">
        <v>12.3</v>
      </c>
      <c r="J175" s="4" t="s">
        <v>46</v>
      </c>
      <c r="K175" s="4">
        <v>2.4</v>
      </c>
      <c r="L175" s="4">
        <v>3.8890000000000001E-2</v>
      </c>
      <c r="M175" s="4">
        <v>3.0129999999999999</v>
      </c>
      <c r="N175" s="4">
        <v>18.7</v>
      </c>
      <c r="O175" s="7" t="s">
        <v>818</v>
      </c>
      <c r="P175">
        <f>SUM(A175:O175)</f>
        <v>221.85189000000003</v>
      </c>
    </row>
    <row r="176" spans="1:16" ht="31.2" hidden="1">
      <c r="A176" s="4">
        <v>174</v>
      </c>
      <c r="B176" s="5" t="s">
        <v>819</v>
      </c>
      <c r="C176" s="5" t="s">
        <v>820</v>
      </c>
      <c r="D176" s="9" t="s">
        <v>172</v>
      </c>
      <c r="E176" s="4" t="s">
        <v>25</v>
      </c>
      <c r="F176" s="4" t="s">
        <v>821</v>
      </c>
      <c r="G176" s="4" t="s">
        <v>31</v>
      </c>
      <c r="H176" s="4">
        <v>4.3</v>
      </c>
      <c r="I176" s="4">
        <v>4.3</v>
      </c>
      <c r="J176" s="4" t="s">
        <v>21</v>
      </c>
      <c r="K176" s="4">
        <v>0.79</v>
      </c>
      <c r="L176" s="4">
        <v>4.1700000000000001E-3</v>
      </c>
      <c r="M176" s="4">
        <v>1.048</v>
      </c>
      <c r="N176" s="4">
        <v>6.7</v>
      </c>
      <c r="O176" s="7" t="s">
        <v>822</v>
      </c>
      <c r="P176">
        <f>SUM(A176:O176)</f>
        <v>191.14216999999999</v>
      </c>
    </row>
    <row r="177" spans="1:16" ht="31.2">
      <c r="A177" s="4">
        <v>175</v>
      </c>
      <c r="B177" s="5" t="s">
        <v>823</v>
      </c>
      <c r="C177" s="5" t="s">
        <v>824</v>
      </c>
      <c r="D177" s="9" t="s">
        <v>172</v>
      </c>
      <c r="E177" s="4" t="s">
        <v>825</v>
      </c>
      <c r="F177" s="4" t="s">
        <v>826</v>
      </c>
      <c r="G177" s="4" t="s">
        <v>20</v>
      </c>
      <c r="H177" s="4">
        <v>5.2</v>
      </c>
      <c r="I177" s="4">
        <v>5.4</v>
      </c>
      <c r="J177" s="4" t="s">
        <v>46</v>
      </c>
      <c r="K177" s="4">
        <v>1.01</v>
      </c>
      <c r="L177" s="4">
        <v>2.3890000000000002E-2</v>
      </c>
      <c r="M177" s="4">
        <v>1.1240000000000001</v>
      </c>
      <c r="N177" s="4">
        <v>9.6</v>
      </c>
      <c r="O177" s="7" t="s">
        <v>827</v>
      </c>
      <c r="P177">
        <f>SUM(A177:O177)</f>
        <v>197.35788999999997</v>
      </c>
    </row>
    <row r="178" spans="1:16" ht="31.2">
      <c r="A178" s="4">
        <v>176</v>
      </c>
      <c r="B178" s="5" t="s">
        <v>828</v>
      </c>
      <c r="C178" s="5" t="s">
        <v>829</v>
      </c>
      <c r="D178" s="9" t="s">
        <v>172</v>
      </c>
      <c r="E178" s="4" t="s">
        <v>830</v>
      </c>
      <c r="F178" s="4" t="s">
        <v>831</v>
      </c>
      <c r="G178" s="4" t="s">
        <v>20</v>
      </c>
      <c r="H178" s="4">
        <v>8.8000000000000007</v>
      </c>
      <c r="I178" s="4">
        <v>8.1999999999999993</v>
      </c>
      <c r="J178" s="4" t="s">
        <v>46</v>
      </c>
      <c r="K178" s="4">
        <v>2.17</v>
      </c>
      <c r="L178" s="4">
        <v>2.8060000000000002E-2</v>
      </c>
      <c r="M178" s="4">
        <v>1.653</v>
      </c>
      <c r="N178" s="4">
        <v>13.9</v>
      </c>
      <c r="O178" s="7" t="s">
        <v>832</v>
      </c>
      <c r="P178">
        <f>SUM(A178:O178)</f>
        <v>210.75106</v>
      </c>
    </row>
    <row r="179" spans="1:16" ht="46.8" hidden="1">
      <c r="A179" s="4">
        <v>177</v>
      </c>
      <c r="B179" s="5" t="s">
        <v>833</v>
      </c>
      <c r="C179" s="5" t="s">
        <v>834</v>
      </c>
      <c r="D179" s="9" t="s">
        <v>172</v>
      </c>
      <c r="E179" s="4" t="s">
        <v>25</v>
      </c>
      <c r="F179" s="4" t="s">
        <v>835</v>
      </c>
      <c r="G179" s="4" t="s">
        <v>31</v>
      </c>
      <c r="H179" s="4">
        <v>2.5</v>
      </c>
      <c r="I179" s="4">
        <v>2.2999999999999998</v>
      </c>
      <c r="J179" s="4" t="s">
        <v>32</v>
      </c>
      <c r="K179" s="4">
        <v>0.49</v>
      </c>
      <c r="L179" s="4">
        <v>6.7000000000000002E-4</v>
      </c>
      <c r="M179" s="4">
        <v>0.502</v>
      </c>
      <c r="N179" s="4">
        <v>4.2</v>
      </c>
      <c r="O179" s="7" t="s">
        <v>836</v>
      </c>
      <c r="P179">
        <f>SUM(A179:O179)</f>
        <v>186.99267000000003</v>
      </c>
    </row>
    <row r="180" spans="1:16" ht="31.2">
      <c r="A180" s="4">
        <v>178</v>
      </c>
      <c r="B180" s="5" t="s">
        <v>837</v>
      </c>
      <c r="C180" s="5" t="s">
        <v>838</v>
      </c>
      <c r="D180" s="9" t="s">
        <v>172</v>
      </c>
      <c r="E180" s="4" t="s">
        <v>839</v>
      </c>
      <c r="F180" s="4" t="s">
        <v>840</v>
      </c>
      <c r="G180" s="4" t="s">
        <v>20</v>
      </c>
      <c r="H180" s="4">
        <v>9.9</v>
      </c>
      <c r="I180" s="4">
        <v>9.4</v>
      </c>
      <c r="J180" s="4" t="s">
        <v>46</v>
      </c>
      <c r="K180" s="4">
        <v>2.41</v>
      </c>
      <c r="L180" s="4">
        <v>4.2900000000000001E-2</v>
      </c>
      <c r="M180" s="4">
        <v>2.2029999999999998</v>
      </c>
      <c r="N180" s="4">
        <v>15.7</v>
      </c>
      <c r="O180" s="7" t="s">
        <v>841</v>
      </c>
      <c r="P180">
        <f>SUM(A180:O180)</f>
        <v>217.6559</v>
      </c>
    </row>
    <row r="181" spans="1:16" ht="31.2">
      <c r="A181" s="4">
        <v>179</v>
      </c>
      <c r="B181" s="5" t="s">
        <v>842</v>
      </c>
      <c r="C181" s="5" t="s">
        <v>843</v>
      </c>
      <c r="D181" s="9" t="s">
        <v>172</v>
      </c>
      <c r="E181" s="4" t="s">
        <v>844</v>
      </c>
      <c r="F181" s="4" t="s">
        <v>845</v>
      </c>
      <c r="G181" s="4" t="s">
        <v>20</v>
      </c>
      <c r="H181" s="4">
        <v>4.2</v>
      </c>
      <c r="I181" s="4">
        <v>3.5</v>
      </c>
      <c r="J181" s="4" t="s">
        <v>46</v>
      </c>
      <c r="K181" s="4">
        <v>0.95</v>
      </c>
      <c r="L181" s="4">
        <v>1.4599999999999999E-3</v>
      </c>
      <c r="M181" s="4">
        <v>0.53900000000000003</v>
      </c>
      <c r="N181" s="4">
        <v>9.8000000000000007</v>
      </c>
      <c r="O181" s="7" t="s">
        <v>846</v>
      </c>
      <c r="P181">
        <f>SUM(A181:O181)</f>
        <v>197.99045999999998</v>
      </c>
    </row>
    <row r="182" spans="1:16" ht="31.2" hidden="1">
      <c r="A182" s="4">
        <v>180</v>
      </c>
      <c r="B182" s="5" t="s">
        <v>847</v>
      </c>
      <c r="C182" s="5" t="s">
        <v>848</v>
      </c>
      <c r="D182" s="9" t="s">
        <v>172</v>
      </c>
      <c r="E182" s="4" t="s">
        <v>849</v>
      </c>
      <c r="F182" s="4" t="s">
        <v>850</v>
      </c>
      <c r="G182" s="4" t="s">
        <v>20</v>
      </c>
      <c r="H182" s="4">
        <v>2.5</v>
      </c>
      <c r="I182" s="4">
        <v>2.4</v>
      </c>
      <c r="J182" s="4" t="s">
        <v>32</v>
      </c>
      <c r="K182" s="4">
        <v>0.44</v>
      </c>
      <c r="L182" s="4">
        <v>1.8799999999999999E-3</v>
      </c>
      <c r="M182" s="4">
        <v>0.438</v>
      </c>
      <c r="N182" s="4">
        <v>5.2</v>
      </c>
      <c r="O182" s="7" t="s">
        <v>851</v>
      </c>
      <c r="P182">
        <f>SUM(A182:O182)</f>
        <v>190.97987999999998</v>
      </c>
    </row>
    <row r="183" spans="1:16" ht="31.2">
      <c r="A183" s="4">
        <v>181</v>
      </c>
      <c r="B183" s="5" t="s">
        <v>852</v>
      </c>
      <c r="C183" s="5" t="s">
        <v>853</v>
      </c>
      <c r="D183" s="9" t="s">
        <v>172</v>
      </c>
      <c r="E183" s="4" t="s">
        <v>854</v>
      </c>
      <c r="F183" s="4" t="s">
        <v>854</v>
      </c>
      <c r="G183" s="4" t="s">
        <v>20</v>
      </c>
      <c r="H183" s="4">
        <v>5.7</v>
      </c>
      <c r="I183" s="4">
        <v>5.5</v>
      </c>
      <c r="J183" s="4" t="s">
        <v>46</v>
      </c>
      <c r="K183" s="4">
        <v>1.27</v>
      </c>
      <c r="L183" s="4">
        <v>1.338E-2</v>
      </c>
      <c r="M183" s="4">
        <v>1.036</v>
      </c>
      <c r="N183" s="4">
        <v>10.9</v>
      </c>
      <c r="O183" s="7" t="s">
        <v>855</v>
      </c>
      <c r="P183">
        <f>SUM(A183:O183)</f>
        <v>205.41938000000002</v>
      </c>
    </row>
    <row r="184" spans="1:16" ht="31.2">
      <c r="A184" s="4">
        <v>182</v>
      </c>
      <c r="B184" s="5" t="s">
        <v>856</v>
      </c>
      <c r="C184" s="5" t="s">
        <v>857</v>
      </c>
      <c r="D184" s="9" t="s">
        <v>172</v>
      </c>
      <c r="E184" s="4" t="s">
        <v>858</v>
      </c>
      <c r="F184" s="4" t="s">
        <v>858</v>
      </c>
      <c r="G184" s="4" t="s">
        <v>20</v>
      </c>
      <c r="H184" s="4">
        <v>7.3</v>
      </c>
      <c r="I184" s="4">
        <v>6.9</v>
      </c>
      <c r="J184" s="4" t="s">
        <v>46</v>
      </c>
      <c r="K184" s="4">
        <v>2.33</v>
      </c>
      <c r="L184" s="4">
        <v>2.1430000000000001E-2</v>
      </c>
      <c r="M184" s="4">
        <v>1.6639999999999999</v>
      </c>
      <c r="N184" s="4">
        <v>14.3</v>
      </c>
      <c r="O184" s="7" t="s">
        <v>859</v>
      </c>
      <c r="P184">
        <f>SUM(A184:O184)</f>
        <v>214.51543000000004</v>
      </c>
    </row>
    <row r="185" spans="1:16" ht="31.2">
      <c r="A185" s="4">
        <v>183</v>
      </c>
      <c r="B185" s="5" t="s">
        <v>860</v>
      </c>
      <c r="C185" s="5" t="s">
        <v>861</v>
      </c>
      <c r="D185" s="9" t="s">
        <v>172</v>
      </c>
      <c r="E185" s="4" t="s">
        <v>25</v>
      </c>
      <c r="F185" s="4" t="s">
        <v>862</v>
      </c>
      <c r="G185" s="4" t="s">
        <v>20</v>
      </c>
      <c r="H185" s="4">
        <v>5.3</v>
      </c>
      <c r="I185" s="4">
        <v>4.8</v>
      </c>
      <c r="J185" s="4" t="s">
        <v>46</v>
      </c>
      <c r="K185" s="4">
        <v>0.96</v>
      </c>
      <c r="L185" s="4">
        <v>9.75E-3</v>
      </c>
      <c r="M185" s="4">
        <v>1.0760000000000001</v>
      </c>
      <c r="N185" s="4">
        <v>9.6999999999999993</v>
      </c>
      <c r="O185" s="7" t="s">
        <v>863</v>
      </c>
      <c r="P185">
        <f>SUM(A185:O185)</f>
        <v>204.84575000000001</v>
      </c>
    </row>
    <row r="186" spans="1:16" ht="31.2">
      <c r="A186" s="4">
        <v>184</v>
      </c>
      <c r="B186" s="5" t="s">
        <v>864</v>
      </c>
      <c r="C186" s="5" t="s">
        <v>865</v>
      </c>
      <c r="D186" s="9" t="s">
        <v>172</v>
      </c>
      <c r="E186" s="4" t="s">
        <v>866</v>
      </c>
      <c r="F186" s="4" t="s">
        <v>867</v>
      </c>
      <c r="G186" s="4" t="s">
        <v>20</v>
      </c>
      <c r="H186" s="4">
        <v>9.6999999999999993</v>
      </c>
      <c r="I186" s="4">
        <v>11.9</v>
      </c>
      <c r="J186" s="4" t="s">
        <v>46</v>
      </c>
      <c r="K186" s="4">
        <v>2</v>
      </c>
      <c r="L186" s="4">
        <v>0.11445</v>
      </c>
      <c r="M186" s="4">
        <v>3.1</v>
      </c>
      <c r="N186" s="4">
        <v>23.7</v>
      </c>
      <c r="O186" s="7" t="s">
        <v>868</v>
      </c>
      <c r="P186">
        <f>SUM(A186:O186)</f>
        <v>234.51444999999998</v>
      </c>
    </row>
    <row r="187" spans="1:16" ht="31.2" hidden="1">
      <c r="A187" s="4">
        <v>185</v>
      </c>
      <c r="B187" s="5" t="s">
        <v>869</v>
      </c>
      <c r="C187" s="5" t="s">
        <v>870</v>
      </c>
      <c r="D187" s="9" t="s">
        <v>172</v>
      </c>
      <c r="E187" s="4" t="s">
        <v>871</v>
      </c>
      <c r="F187" s="4" t="s">
        <v>872</v>
      </c>
      <c r="G187" s="4" t="s">
        <v>20</v>
      </c>
      <c r="H187" s="4">
        <v>2.4</v>
      </c>
      <c r="I187" s="4">
        <v>2.2999999999999998</v>
      </c>
      <c r="J187" s="4" t="s">
        <v>32</v>
      </c>
      <c r="K187" s="4">
        <v>0.73</v>
      </c>
      <c r="L187" s="4">
        <v>4.4299999999999999E-3</v>
      </c>
      <c r="M187" s="4">
        <v>0.374</v>
      </c>
      <c r="N187" s="4">
        <v>3.7</v>
      </c>
      <c r="O187" s="7" t="s">
        <v>873</v>
      </c>
      <c r="P187">
        <f>SUM(A187:O187)</f>
        <v>194.50843</v>
      </c>
    </row>
    <row r="188" spans="1:16" ht="31.2">
      <c r="A188" s="4">
        <v>186</v>
      </c>
      <c r="B188" s="5" t="s">
        <v>874</v>
      </c>
      <c r="C188" s="5" t="s">
        <v>875</v>
      </c>
      <c r="D188" s="9" t="s">
        <v>172</v>
      </c>
      <c r="E188" s="4" t="s">
        <v>876</v>
      </c>
      <c r="F188" s="4" t="s">
        <v>877</v>
      </c>
      <c r="G188" s="4" t="s">
        <v>20</v>
      </c>
      <c r="H188" s="4">
        <v>5.9</v>
      </c>
      <c r="I188" s="4">
        <v>6.3</v>
      </c>
      <c r="J188" s="4" t="s">
        <v>46</v>
      </c>
      <c r="K188" s="4">
        <v>1.44</v>
      </c>
      <c r="L188" s="4">
        <v>1.2239999999999999E-2</v>
      </c>
      <c r="M188" s="4">
        <v>1.3540000000000001</v>
      </c>
      <c r="N188" s="4">
        <v>15.2</v>
      </c>
      <c r="O188" s="7" t="s">
        <v>878</v>
      </c>
      <c r="P188">
        <f>SUM(A188:O188)</f>
        <v>216.20624000000001</v>
      </c>
    </row>
    <row r="189" spans="1:16" ht="31.2">
      <c r="A189" s="4">
        <v>187</v>
      </c>
      <c r="B189" s="5" t="s">
        <v>879</v>
      </c>
      <c r="C189" s="5" t="s">
        <v>880</v>
      </c>
      <c r="D189" s="9" t="s">
        <v>172</v>
      </c>
      <c r="E189" s="4" t="s">
        <v>881</v>
      </c>
      <c r="F189" s="4" t="s">
        <v>882</v>
      </c>
      <c r="G189" s="4" t="s">
        <v>20</v>
      </c>
      <c r="H189" s="4">
        <v>20.399999999999999</v>
      </c>
      <c r="I189" s="4">
        <v>22.6</v>
      </c>
      <c r="J189" s="4" t="s">
        <v>46</v>
      </c>
      <c r="K189" s="4">
        <v>3.93</v>
      </c>
      <c r="L189" s="4">
        <v>0.13170999999999999</v>
      </c>
      <c r="M189" s="4">
        <v>5.8070000000000004</v>
      </c>
      <c r="N189" s="4">
        <v>41.1</v>
      </c>
      <c r="O189" s="7" t="s">
        <v>883</v>
      </c>
      <c r="P189">
        <f>SUM(A189:O189)</f>
        <v>280.96870999999999</v>
      </c>
    </row>
    <row r="190" spans="1:16" ht="31.2" hidden="1">
      <c r="A190" s="4">
        <v>188</v>
      </c>
      <c r="B190" s="5" t="s">
        <v>884</v>
      </c>
      <c r="C190" s="5" t="s">
        <v>885</v>
      </c>
      <c r="D190" s="9" t="s">
        <v>172</v>
      </c>
      <c r="E190" s="4" t="s">
        <v>886</v>
      </c>
      <c r="F190" s="4" t="s">
        <v>887</v>
      </c>
      <c r="G190" s="4" t="s">
        <v>20</v>
      </c>
      <c r="H190" s="4">
        <v>1.6</v>
      </c>
      <c r="I190" s="4">
        <v>1.5</v>
      </c>
      <c r="J190" s="4" t="s">
        <v>32</v>
      </c>
      <c r="K190" s="4">
        <v>0.5</v>
      </c>
      <c r="L190" s="4">
        <v>6.1599999999999997E-3</v>
      </c>
      <c r="M190" s="4">
        <v>0.28799999999999998</v>
      </c>
      <c r="N190" s="4">
        <v>3.2</v>
      </c>
      <c r="O190" s="7" t="s">
        <v>888</v>
      </c>
      <c r="P190">
        <f>SUM(A190:O190)</f>
        <v>195.09415999999999</v>
      </c>
    </row>
    <row r="191" spans="1:16" ht="31.2" hidden="1">
      <c r="A191" s="4">
        <v>189</v>
      </c>
      <c r="B191" s="5" t="s">
        <v>889</v>
      </c>
      <c r="C191" s="5" t="s">
        <v>890</v>
      </c>
      <c r="D191" s="9" t="s">
        <v>172</v>
      </c>
      <c r="E191" s="4" t="s">
        <v>891</v>
      </c>
      <c r="F191" s="4" t="s">
        <v>892</v>
      </c>
      <c r="G191" s="4" t="s">
        <v>20</v>
      </c>
      <c r="H191" s="4">
        <v>4.7</v>
      </c>
      <c r="I191" s="4">
        <v>4.5999999999999996</v>
      </c>
      <c r="J191" s="4" t="s">
        <v>21</v>
      </c>
      <c r="K191" s="4">
        <v>0.94</v>
      </c>
      <c r="L191" s="4">
        <v>1.626E-2</v>
      </c>
      <c r="M191" s="4">
        <v>1.093</v>
      </c>
      <c r="N191" s="4">
        <v>11.2</v>
      </c>
      <c r="O191" s="7" t="s">
        <v>893</v>
      </c>
      <c r="P191">
        <f>SUM(A191:O191)</f>
        <v>211.54925999999995</v>
      </c>
    </row>
    <row r="192" spans="1:16" ht="31.2">
      <c r="A192" s="4">
        <v>190</v>
      </c>
      <c r="B192" s="5" t="s">
        <v>894</v>
      </c>
      <c r="C192" s="5" t="s">
        <v>895</v>
      </c>
      <c r="D192" s="9" t="s">
        <v>172</v>
      </c>
      <c r="E192" s="4" t="s">
        <v>896</v>
      </c>
      <c r="F192" s="4" t="s">
        <v>897</v>
      </c>
      <c r="G192" s="4" t="s">
        <v>20</v>
      </c>
      <c r="H192" s="4">
        <v>7.1</v>
      </c>
      <c r="I192" s="4">
        <v>7.5</v>
      </c>
      <c r="J192" s="4" t="s">
        <v>46</v>
      </c>
      <c r="K192" s="4">
        <v>1.53</v>
      </c>
      <c r="L192" s="4">
        <v>7.4109999999999995E-2</v>
      </c>
      <c r="M192" s="4">
        <v>1.5269999999999999</v>
      </c>
      <c r="N192" s="4">
        <v>15.2</v>
      </c>
      <c r="O192" s="7" t="s">
        <v>898</v>
      </c>
      <c r="P192">
        <f>SUM(A192:O192)</f>
        <v>222.93110999999996</v>
      </c>
    </row>
    <row r="193" spans="1:16" ht="31.2">
      <c r="A193" s="4">
        <v>191</v>
      </c>
      <c r="B193" s="5" t="s">
        <v>899</v>
      </c>
      <c r="C193" s="5" t="s">
        <v>900</v>
      </c>
      <c r="D193" s="9" t="s">
        <v>172</v>
      </c>
      <c r="E193" s="4" t="s">
        <v>901</v>
      </c>
      <c r="F193" s="4" t="s">
        <v>902</v>
      </c>
      <c r="G193" s="4" t="s">
        <v>20</v>
      </c>
      <c r="H193" s="4">
        <v>8.6999999999999993</v>
      </c>
      <c r="I193" s="4">
        <v>8.5</v>
      </c>
      <c r="J193" s="4" t="s">
        <v>46</v>
      </c>
      <c r="K193" s="4">
        <v>1.89</v>
      </c>
      <c r="L193" s="4">
        <v>4.4880000000000003E-2</v>
      </c>
      <c r="M193" s="4">
        <v>2.3010000000000002</v>
      </c>
      <c r="N193" s="4">
        <v>17.899999999999999</v>
      </c>
      <c r="O193" s="7" t="s">
        <v>903</v>
      </c>
      <c r="P193">
        <f>SUM(A193:O193)</f>
        <v>230.33587999999997</v>
      </c>
    </row>
    <row r="194" spans="1:16" ht="31.2" hidden="1">
      <c r="A194" s="4">
        <v>192</v>
      </c>
      <c r="B194" s="5" t="s">
        <v>904</v>
      </c>
      <c r="C194" s="5" t="s">
        <v>905</v>
      </c>
      <c r="D194" s="9" t="s">
        <v>172</v>
      </c>
      <c r="E194" s="4" t="s">
        <v>906</v>
      </c>
      <c r="F194" s="4" t="s">
        <v>907</v>
      </c>
      <c r="G194" s="4" t="s">
        <v>707</v>
      </c>
      <c r="H194" s="4">
        <v>1.7</v>
      </c>
      <c r="I194" s="4">
        <v>2.2999999999999998</v>
      </c>
      <c r="J194" s="4" t="s">
        <v>21</v>
      </c>
      <c r="K194" s="4">
        <v>0.61</v>
      </c>
      <c r="L194" s="4">
        <v>3.6000000000000002E-4</v>
      </c>
      <c r="M194" s="4">
        <v>0.35699999999999998</v>
      </c>
      <c r="N194" s="4">
        <v>3.6</v>
      </c>
      <c r="O194" s="7" t="s">
        <v>908</v>
      </c>
      <c r="P194">
        <f>SUM(A194:O194)</f>
        <v>200.56736000000001</v>
      </c>
    </row>
    <row r="195" spans="1:16" ht="31.2" hidden="1">
      <c r="A195" s="4">
        <v>193</v>
      </c>
      <c r="B195" s="5" t="s">
        <v>909</v>
      </c>
      <c r="C195" s="5" t="s">
        <v>910</v>
      </c>
      <c r="D195" s="9" t="s">
        <v>172</v>
      </c>
      <c r="E195" s="4" t="s">
        <v>25</v>
      </c>
      <c r="F195" s="4" t="s">
        <v>911</v>
      </c>
      <c r="G195" s="4" t="s">
        <v>31</v>
      </c>
      <c r="H195" s="4">
        <v>3.5</v>
      </c>
      <c r="I195" s="4">
        <v>3.5</v>
      </c>
      <c r="J195" s="4" t="s">
        <v>21</v>
      </c>
      <c r="K195" s="4">
        <v>0.68</v>
      </c>
      <c r="L195" s="4">
        <v>8.5999999999999998E-4</v>
      </c>
      <c r="M195" s="4">
        <v>0.72399999999999998</v>
      </c>
      <c r="N195" s="4">
        <v>4.3</v>
      </c>
      <c r="O195" s="7" t="s">
        <v>912</v>
      </c>
      <c r="P195">
        <f>SUM(A195:O195)</f>
        <v>205.70486</v>
      </c>
    </row>
    <row r="196" spans="1:16" ht="31.2">
      <c r="A196" s="4">
        <v>194</v>
      </c>
      <c r="B196" s="5" t="s">
        <v>913</v>
      </c>
      <c r="C196" s="5" t="s">
        <v>914</v>
      </c>
      <c r="D196" s="9" t="s">
        <v>172</v>
      </c>
      <c r="E196" s="4" t="s">
        <v>915</v>
      </c>
      <c r="F196" s="4" t="s">
        <v>916</v>
      </c>
      <c r="G196" s="4" t="s">
        <v>31</v>
      </c>
      <c r="H196" s="4">
        <v>3.8</v>
      </c>
      <c r="I196" s="4">
        <v>4.0999999999999996</v>
      </c>
      <c r="J196" s="4" t="s">
        <v>46</v>
      </c>
      <c r="K196" s="4">
        <v>1.25</v>
      </c>
      <c r="L196" s="4">
        <v>3.0300000000000001E-3</v>
      </c>
      <c r="M196" s="4">
        <v>0.96599999999999997</v>
      </c>
      <c r="N196" s="4">
        <v>7.2</v>
      </c>
      <c r="O196" s="7" t="s">
        <v>917</v>
      </c>
      <c r="P196">
        <f>SUM(A196:O196)</f>
        <v>211.31903</v>
      </c>
    </row>
    <row r="197" spans="1:16" ht="31.2">
      <c r="A197" s="4">
        <v>195</v>
      </c>
      <c r="B197" s="5" t="s">
        <v>918</v>
      </c>
      <c r="C197" s="5" t="s">
        <v>919</v>
      </c>
      <c r="D197" s="9" t="s">
        <v>172</v>
      </c>
      <c r="E197" s="4" t="s">
        <v>920</v>
      </c>
      <c r="F197" s="4" t="s">
        <v>921</v>
      </c>
      <c r="G197" s="4" t="s">
        <v>20</v>
      </c>
      <c r="H197" s="4">
        <v>5.4</v>
      </c>
      <c r="I197" s="4">
        <v>6.1</v>
      </c>
      <c r="J197" s="4" t="s">
        <v>46</v>
      </c>
      <c r="K197" s="4">
        <v>1.32</v>
      </c>
      <c r="L197" s="4">
        <v>6.6600000000000001E-3</v>
      </c>
      <c r="M197" s="4">
        <v>1.1759999999999999</v>
      </c>
      <c r="N197" s="4">
        <v>10</v>
      </c>
      <c r="O197" s="7" t="s">
        <v>922</v>
      </c>
      <c r="P197">
        <f>SUM(A197:O197)</f>
        <v>219.00265999999999</v>
      </c>
    </row>
    <row r="198" spans="1:16" ht="31.2" hidden="1">
      <c r="A198" s="4">
        <v>196</v>
      </c>
      <c r="B198" s="5" t="s">
        <v>923</v>
      </c>
      <c r="C198" s="5" t="s">
        <v>924</v>
      </c>
      <c r="D198" s="9" t="s">
        <v>172</v>
      </c>
      <c r="E198" s="4" t="s">
        <v>25</v>
      </c>
      <c r="F198" s="4" t="s">
        <v>925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7" t="s">
        <v>926</v>
      </c>
      <c r="P198">
        <f>SUM(A198:O198)</f>
        <v>196</v>
      </c>
    </row>
    <row r="199" spans="1:16" ht="31.2">
      <c r="A199" s="4">
        <v>197</v>
      </c>
      <c r="B199" s="5" t="s">
        <v>927</v>
      </c>
      <c r="C199" s="5" t="s">
        <v>928</v>
      </c>
      <c r="D199" s="9" t="s">
        <v>172</v>
      </c>
      <c r="E199" s="4" t="s">
        <v>929</v>
      </c>
      <c r="F199" s="4" t="s">
        <v>930</v>
      </c>
      <c r="G199" s="4" t="s">
        <v>20</v>
      </c>
      <c r="H199" s="4">
        <v>11.1</v>
      </c>
      <c r="I199" s="4">
        <v>12.9</v>
      </c>
      <c r="J199" s="4" t="s">
        <v>46</v>
      </c>
      <c r="K199" s="4">
        <v>2.3199999999999998</v>
      </c>
      <c r="L199" s="4">
        <v>2.8129999999999999E-2</v>
      </c>
      <c r="M199" s="4">
        <v>3.5110000000000001</v>
      </c>
      <c r="N199" s="4">
        <v>20</v>
      </c>
      <c r="O199" s="7" t="s">
        <v>931</v>
      </c>
      <c r="P199">
        <f>SUM(A199:O199)</f>
        <v>246.85912999999999</v>
      </c>
    </row>
    <row r="200" spans="1:16" ht="31.2" hidden="1">
      <c r="A200" s="4">
        <v>198</v>
      </c>
      <c r="B200" s="5" t="s">
        <v>932</v>
      </c>
      <c r="C200" s="5" t="s">
        <v>933</v>
      </c>
      <c r="D200" s="9" t="s">
        <v>172</v>
      </c>
      <c r="E200" s="4" t="s">
        <v>934</v>
      </c>
      <c r="F200" s="4" t="s">
        <v>935</v>
      </c>
      <c r="G200" s="4" t="s">
        <v>20</v>
      </c>
      <c r="H200" s="4">
        <v>2.5</v>
      </c>
      <c r="I200" s="4">
        <v>2.9</v>
      </c>
      <c r="J200" s="4" t="s">
        <v>32</v>
      </c>
      <c r="K200" s="4">
        <v>0.46</v>
      </c>
      <c r="L200" s="4">
        <v>1.34E-3</v>
      </c>
      <c r="M200" s="4">
        <v>0.48699999999999999</v>
      </c>
      <c r="N200" s="4">
        <v>4.8</v>
      </c>
      <c r="O200" s="7" t="s">
        <v>936</v>
      </c>
      <c r="P200">
        <f>SUM(A200:O200)</f>
        <v>209.14834000000002</v>
      </c>
    </row>
    <row r="201" spans="1:16" ht="31.2">
      <c r="A201" s="4">
        <v>199</v>
      </c>
      <c r="B201" s="5" t="s">
        <v>937</v>
      </c>
      <c r="C201" s="5" t="s">
        <v>938</v>
      </c>
      <c r="D201" s="9" t="s">
        <v>172</v>
      </c>
      <c r="E201" s="4" t="s">
        <v>939</v>
      </c>
      <c r="F201" s="4" t="s">
        <v>939</v>
      </c>
      <c r="G201" s="4" t="s">
        <v>20</v>
      </c>
      <c r="H201" s="4">
        <v>6.2</v>
      </c>
      <c r="I201" s="4">
        <v>5.9</v>
      </c>
      <c r="J201" s="4" t="s">
        <v>46</v>
      </c>
      <c r="K201" s="4">
        <v>1.62</v>
      </c>
      <c r="L201" s="4">
        <v>1.0670000000000001E-2</v>
      </c>
      <c r="M201" s="4">
        <v>1.2010000000000001</v>
      </c>
      <c r="N201" s="4">
        <v>12.9</v>
      </c>
      <c r="O201" s="7" t="s">
        <v>940</v>
      </c>
      <c r="P201">
        <f>SUM(A201:O201)</f>
        <v>226.83167</v>
      </c>
    </row>
    <row r="202" spans="1:16" ht="46.8" hidden="1">
      <c r="A202" s="4">
        <v>200</v>
      </c>
      <c r="B202" s="5" t="s">
        <v>941</v>
      </c>
      <c r="C202" s="5" t="s">
        <v>942</v>
      </c>
      <c r="D202" s="9" t="s">
        <v>172</v>
      </c>
      <c r="E202" s="4" t="s">
        <v>943</v>
      </c>
      <c r="F202" s="4" t="s">
        <v>943</v>
      </c>
      <c r="G202" s="4" t="s">
        <v>20</v>
      </c>
      <c r="H202" s="4">
        <v>4.5999999999999996</v>
      </c>
      <c r="I202" s="4">
        <v>4.4000000000000004</v>
      </c>
      <c r="J202" s="4" t="s">
        <v>21</v>
      </c>
      <c r="K202" s="4">
        <v>0.99</v>
      </c>
      <c r="L202" s="4">
        <v>2.9299999999999999E-3</v>
      </c>
      <c r="M202" s="4">
        <v>1.1679999999999999</v>
      </c>
      <c r="N202" s="4">
        <v>7.8</v>
      </c>
      <c r="O202" s="7" t="s">
        <v>944</v>
      </c>
      <c r="P202">
        <f>SUM(A202:O202)</f>
        <v>218.96093000000002</v>
      </c>
    </row>
    <row r="203" spans="1:16" ht="31.2" hidden="1">
      <c r="A203" s="4">
        <v>201</v>
      </c>
      <c r="B203" s="5" t="s">
        <v>945</v>
      </c>
      <c r="C203" s="5" t="s">
        <v>946</v>
      </c>
      <c r="D203" s="9" t="s">
        <v>172</v>
      </c>
      <c r="E203" s="4" t="s">
        <v>25</v>
      </c>
      <c r="F203" s="4" t="s">
        <v>947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4" t="s">
        <v>25</v>
      </c>
      <c r="O203" s="7" t="s">
        <v>948</v>
      </c>
      <c r="P203">
        <f>SUM(A203:O203)</f>
        <v>201</v>
      </c>
    </row>
    <row r="204" spans="1:16" ht="31.2">
      <c r="A204" s="4">
        <v>202</v>
      </c>
      <c r="B204" s="5" t="s">
        <v>949</v>
      </c>
      <c r="C204" s="5" t="s">
        <v>950</v>
      </c>
      <c r="D204" s="9" t="s">
        <v>172</v>
      </c>
      <c r="E204" s="4" t="s">
        <v>951</v>
      </c>
      <c r="F204" s="4" t="s">
        <v>952</v>
      </c>
      <c r="G204" s="4" t="s">
        <v>20</v>
      </c>
      <c r="H204" s="4">
        <v>5.5</v>
      </c>
      <c r="I204" s="4">
        <v>6.4</v>
      </c>
      <c r="J204" s="4" t="s">
        <v>46</v>
      </c>
      <c r="K204" s="4">
        <v>1.21</v>
      </c>
      <c r="L204" s="4">
        <v>2.826E-2</v>
      </c>
      <c r="M204" s="4">
        <v>1.819</v>
      </c>
      <c r="N204" s="4">
        <v>11.7</v>
      </c>
      <c r="O204" s="7" t="s">
        <v>953</v>
      </c>
      <c r="P204">
        <f>SUM(A204:O204)</f>
        <v>228.65725999999998</v>
      </c>
    </row>
    <row r="205" spans="1:16" ht="31.2">
      <c r="A205" s="4">
        <v>203</v>
      </c>
      <c r="B205" s="5" t="s">
        <v>954</v>
      </c>
      <c r="C205" s="5" t="s">
        <v>955</v>
      </c>
      <c r="D205" s="9" t="s">
        <v>172</v>
      </c>
      <c r="E205" s="4" t="s">
        <v>956</v>
      </c>
      <c r="F205" s="4" t="s">
        <v>957</v>
      </c>
      <c r="G205" s="4" t="s">
        <v>20</v>
      </c>
      <c r="H205" s="4">
        <v>10.1</v>
      </c>
      <c r="I205" s="4">
        <v>10.6</v>
      </c>
      <c r="J205" s="4" t="s">
        <v>46</v>
      </c>
      <c r="K205" s="4">
        <v>2.23</v>
      </c>
      <c r="L205" s="4">
        <v>4.6580000000000003E-2</v>
      </c>
      <c r="M205" s="4">
        <v>2.7850000000000001</v>
      </c>
      <c r="N205" s="4">
        <v>21.5</v>
      </c>
      <c r="O205" s="7" t="s">
        <v>958</v>
      </c>
      <c r="P205">
        <f>SUM(A205:O205)</f>
        <v>250.26157999999998</v>
      </c>
    </row>
    <row r="206" spans="1:16" ht="31.2" hidden="1">
      <c r="A206" s="4">
        <v>204</v>
      </c>
      <c r="B206" s="5" t="s">
        <v>959</v>
      </c>
      <c r="C206" s="5" t="s">
        <v>960</v>
      </c>
      <c r="D206" s="9" t="s">
        <v>172</v>
      </c>
      <c r="E206" s="4" t="s">
        <v>25</v>
      </c>
      <c r="F206" s="4" t="s">
        <v>961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7" t="s">
        <v>962</v>
      </c>
      <c r="P206">
        <f>SUM(A206:O206)</f>
        <v>204</v>
      </c>
    </row>
    <row r="207" spans="1:16" ht="31.2">
      <c r="A207" s="4">
        <v>205</v>
      </c>
      <c r="B207" s="5" t="s">
        <v>963</v>
      </c>
      <c r="C207" s="5" t="s">
        <v>964</v>
      </c>
      <c r="D207" s="9" t="s">
        <v>172</v>
      </c>
      <c r="E207" s="4" t="s">
        <v>965</v>
      </c>
      <c r="F207" s="4" t="s">
        <v>966</v>
      </c>
      <c r="G207" s="4" t="s">
        <v>20</v>
      </c>
      <c r="H207" s="4">
        <v>6</v>
      </c>
      <c r="I207" s="4">
        <v>6.4</v>
      </c>
      <c r="J207" s="4" t="s">
        <v>46</v>
      </c>
      <c r="K207" s="4">
        <v>1.5</v>
      </c>
      <c r="L207" s="4">
        <v>7.2300000000000003E-3</v>
      </c>
      <c r="M207" s="4">
        <v>0.99</v>
      </c>
      <c r="N207" s="4">
        <v>13.9</v>
      </c>
      <c r="O207" s="7" t="s">
        <v>967</v>
      </c>
      <c r="P207">
        <f>SUM(A207:O207)</f>
        <v>233.79723000000001</v>
      </c>
    </row>
    <row r="208" spans="1:16" ht="31.2">
      <c r="A208" s="4">
        <v>206</v>
      </c>
      <c r="B208" s="5" t="s">
        <v>968</v>
      </c>
      <c r="C208" s="5" t="s">
        <v>969</v>
      </c>
      <c r="D208" s="9" t="s">
        <v>172</v>
      </c>
      <c r="E208" s="4" t="s">
        <v>970</v>
      </c>
      <c r="F208" s="4" t="s">
        <v>970</v>
      </c>
      <c r="G208" s="4" t="s">
        <v>20</v>
      </c>
      <c r="H208" s="4">
        <v>5.3</v>
      </c>
      <c r="I208" s="4">
        <v>4.3</v>
      </c>
      <c r="J208" s="4" t="s">
        <v>46</v>
      </c>
      <c r="K208" s="4">
        <v>1.04</v>
      </c>
      <c r="L208" s="4">
        <v>1.9499999999999999E-3</v>
      </c>
      <c r="M208" s="4">
        <v>0.84899999999999998</v>
      </c>
      <c r="N208" s="4">
        <v>8.6999999999999993</v>
      </c>
      <c r="O208" s="7" t="s">
        <v>971</v>
      </c>
      <c r="P208">
        <f>SUM(A208:O208)</f>
        <v>226.19094999999999</v>
      </c>
    </row>
    <row r="209" spans="1:16" ht="31.2">
      <c r="A209" s="4">
        <v>207</v>
      </c>
      <c r="B209" s="5" t="s">
        <v>972</v>
      </c>
      <c r="C209" s="5" t="s">
        <v>973</v>
      </c>
      <c r="D209" s="9" t="s">
        <v>172</v>
      </c>
      <c r="E209" s="4" t="s">
        <v>974</v>
      </c>
      <c r="F209" s="4" t="s">
        <v>975</v>
      </c>
      <c r="G209" s="4" t="s">
        <v>20</v>
      </c>
      <c r="H209" s="4">
        <v>10.3</v>
      </c>
      <c r="I209" s="4">
        <v>9.9</v>
      </c>
      <c r="J209" s="4" t="s">
        <v>46</v>
      </c>
      <c r="K209" s="4">
        <v>1.83</v>
      </c>
      <c r="L209" s="4">
        <v>2.2460000000000001E-2</v>
      </c>
      <c r="M209" s="4">
        <v>2.7290000000000001</v>
      </c>
      <c r="N209" s="4">
        <v>21.1</v>
      </c>
      <c r="O209" s="7" t="s">
        <v>976</v>
      </c>
      <c r="P209">
        <f>SUM(A209:O209)</f>
        <v>252.88146000000003</v>
      </c>
    </row>
    <row r="210" spans="1:16" ht="31.2">
      <c r="A210" s="4">
        <v>208</v>
      </c>
      <c r="B210" s="5" t="s">
        <v>977</v>
      </c>
      <c r="C210" s="5" t="s">
        <v>978</v>
      </c>
      <c r="D210" s="9" t="s">
        <v>172</v>
      </c>
      <c r="E210" s="4" t="s">
        <v>979</v>
      </c>
      <c r="F210" s="4" t="s">
        <v>980</v>
      </c>
      <c r="G210" s="4" t="s">
        <v>20</v>
      </c>
      <c r="H210" s="4">
        <v>8.4</v>
      </c>
      <c r="I210" s="4">
        <v>8.5</v>
      </c>
      <c r="J210" s="4" t="s">
        <v>46</v>
      </c>
      <c r="K210" s="4">
        <v>1.61</v>
      </c>
      <c r="L210" s="4">
        <v>5.5739999999999998E-2</v>
      </c>
      <c r="M210" s="4">
        <v>2.2109999999999999</v>
      </c>
      <c r="N210" s="4">
        <v>17.8</v>
      </c>
      <c r="O210" s="7" t="s">
        <v>981</v>
      </c>
      <c r="P210">
        <f>SUM(A210:O210)</f>
        <v>246.57674000000003</v>
      </c>
    </row>
    <row r="211" spans="1:16" ht="31.2">
      <c r="A211" s="4">
        <v>209</v>
      </c>
      <c r="B211" s="5" t="s">
        <v>982</v>
      </c>
      <c r="C211" s="5" t="s">
        <v>983</v>
      </c>
      <c r="D211" s="9" t="s">
        <v>172</v>
      </c>
      <c r="E211" s="4" t="s">
        <v>25</v>
      </c>
      <c r="F211" s="4" t="s">
        <v>984</v>
      </c>
      <c r="G211" s="4" t="s">
        <v>31</v>
      </c>
      <c r="H211" s="4">
        <v>5.9</v>
      </c>
      <c r="I211" s="4" t="s">
        <v>25</v>
      </c>
      <c r="J211" s="4" t="s">
        <v>46</v>
      </c>
      <c r="K211" s="4">
        <v>1.53</v>
      </c>
      <c r="L211" s="4">
        <v>1.1000000000000001E-3</v>
      </c>
      <c r="M211" s="4" t="s">
        <v>25</v>
      </c>
      <c r="N211" s="4">
        <v>10.5</v>
      </c>
      <c r="O211" s="7" t="s">
        <v>985</v>
      </c>
      <c r="P211">
        <f>SUM(A211:O211)</f>
        <v>226.93110000000001</v>
      </c>
    </row>
    <row r="212" spans="1:16" ht="31.2" hidden="1">
      <c r="A212" s="4">
        <v>210</v>
      </c>
      <c r="B212" s="5" t="s">
        <v>986</v>
      </c>
      <c r="C212" s="5" t="s">
        <v>987</v>
      </c>
      <c r="D212" s="9" t="s">
        <v>172</v>
      </c>
      <c r="E212" s="4" t="s">
        <v>988</v>
      </c>
      <c r="F212" s="4" t="s">
        <v>989</v>
      </c>
      <c r="G212" s="4" t="s">
        <v>20</v>
      </c>
      <c r="H212" s="4">
        <v>3.6</v>
      </c>
      <c r="I212" s="4">
        <v>3.7</v>
      </c>
      <c r="J212" s="4" t="s">
        <v>21</v>
      </c>
      <c r="K212" s="4">
        <v>0.95</v>
      </c>
      <c r="L212" s="4">
        <v>2.4399999999999999E-3</v>
      </c>
      <c r="M212" s="4">
        <v>0.79600000000000004</v>
      </c>
      <c r="N212" s="4">
        <v>7.6</v>
      </c>
      <c r="O212" s="7" t="s">
        <v>990</v>
      </c>
      <c r="P212">
        <f>SUM(A212:O212)</f>
        <v>226.64843999999997</v>
      </c>
    </row>
    <row r="213" spans="1:16" ht="31.2">
      <c r="A213" s="4">
        <v>211</v>
      </c>
      <c r="B213" s="5" t="s">
        <v>991</v>
      </c>
      <c r="C213" s="5" t="s">
        <v>992</v>
      </c>
      <c r="D213" s="9" t="s">
        <v>172</v>
      </c>
      <c r="E213" s="4" t="s">
        <v>993</v>
      </c>
      <c r="F213" s="4" t="s">
        <v>993</v>
      </c>
      <c r="G213" s="4" t="s">
        <v>20</v>
      </c>
      <c r="H213" s="4">
        <v>8.5</v>
      </c>
      <c r="I213" s="4">
        <v>9.3000000000000007</v>
      </c>
      <c r="J213" s="4" t="s">
        <v>46</v>
      </c>
      <c r="K213" s="4">
        <v>1.72</v>
      </c>
      <c r="L213" s="4">
        <v>2.9569999999999999E-2</v>
      </c>
      <c r="M213" s="4">
        <v>1.9610000000000001</v>
      </c>
      <c r="N213" s="4">
        <v>12.9</v>
      </c>
      <c r="O213" s="7" t="s">
        <v>994</v>
      </c>
      <c r="P213">
        <f>SUM(A213:O213)</f>
        <v>245.41057000000004</v>
      </c>
    </row>
    <row r="214" spans="1:16" ht="31.2">
      <c r="A214" s="4">
        <v>212</v>
      </c>
      <c r="B214" s="5" t="s">
        <v>995</v>
      </c>
      <c r="C214" s="5" t="s">
        <v>996</v>
      </c>
      <c r="D214" s="9" t="s">
        <v>172</v>
      </c>
      <c r="E214" s="4" t="s">
        <v>25</v>
      </c>
      <c r="F214" s="4" t="s">
        <v>997</v>
      </c>
      <c r="G214" s="4" t="s">
        <v>20</v>
      </c>
      <c r="H214" s="4">
        <v>4</v>
      </c>
      <c r="I214" s="4">
        <v>3.8</v>
      </c>
      <c r="J214" s="4" t="s">
        <v>46</v>
      </c>
      <c r="K214" s="4">
        <v>0.96</v>
      </c>
      <c r="L214" s="4">
        <v>7.7299999999999999E-3</v>
      </c>
      <c r="M214" s="4">
        <v>0.83</v>
      </c>
      <c r="N214" s="4">
        <v>9.1</v>
      </c>
      <c r="O214" s="7" t="s">
        <v>998</v>
      </c>
      <c r="P214">
        <f>SUM(A214:O214)</f>
        <v>230.69773000000004</v>
      </c>
    </row>
    <row r="215" spans="1:16" ht="31.2">
      <c r="A215" s="4">
        <v>213</v>
      </c>
      <c r="B215" s="5" t="s">
        <v>999</v>
      </c>
      <c r="C215" s="5" t="s">
        <v>1000</v>
      </c>
      <c r="D215" s="9" t="s">
        <v>172</v>
      </c>
      <c r="E215" s="4" t="s">
        <v>1001</v>
      </c>
      <c r="F215" s="4" t="s">
        <v>1002</v>
      </c>
      <c r="G215" s="4" t="s">
        <v>20</v>
      </c>
      <c r="H215" s="4">
        <v>7.5</v>
      </c>
      <c r="I215" s="4">
        <v>7.4</v>
      </c>
      <c r="J215" s="4" t="s">
        <v>46</v>
      </c>
      <c r="K215" s="4">
        <v>1.47</v>
      </c>
      <c r="L215" s="4">
        <v>8.5559999999999997E-2</v>
      </c>
      <c r="M215" s="4">
        <v>1.66</v>
      </c>
      <c r="N215" s="4">
        <v>13.3</v>
      </c>
      <c r="O215" s="7" t="s">
        <v>1003</v>
      </c>
      <c r="P215">
        <f>SUM(A215:O215)</f>
        <v>244.41556</v>
      </c>
    </row>
    <row r="216" spans="1:16" ht="31.2" hidden="1">
      <c r="A216" s="4">
        <v>214</v>
      </c>
      <c r="B216" s="5" t="s">
        <v>1004</v>
      </c>
      <c r="C216" s="5" t="s">
        <v>1005</v>
      </c>
      <c r="D216" s="9" t="s">
        <v>172</v>
      </c>
      <c r="E216" s="4" t="s">
        <v>1006</v>
      </c>
      <c r="F216" s="4" t="s">
        <v>1007</v>
      </c>
      <c r="G216" s="4" t="s">
        <v>20</v>
      </c>
      <c r="H216" s="4">
        <v>3.2</v>
      </c>
      <c r="I216" s="4">
        <v>3.3</v>
      </c>
      <c r="J216" s="4" t="s">
        <v>21</v>
      </c>
      <c r="K216" s="4">
        <v>0.65</v>
      </c>
      <c r="L216" s="4">
        <v>7.5900000000000004E-3</v>
      </c>
      <c r="M216" s="4">
        <v>0.85899999999999999</v>
      </c>
      <c r="N216" s="4">
        <v>6.1</v>
      </c>
      <c r="O216" s="7" t="s">
        <v>1008</v>
      </c>
      <c r="P216">
        <f>SUM(A216:O216)</f>
        <v>228.11659</v>
      </c>
    </row>
    <row r="217" spans="1:16" ht="31.2">
      <c r="A217" s="4">
        <v>215</v>
      </c>
      <c r="B217" s="5" t="s">
        <v>1009</v>
      </c>
      <c r="C217" s="5" t="s">
        <v>1010</v>
      </c>
      <c r="D217" s="9" t="s">
        <v>172</v>
      </c>
      <c r="E217" s="4" t="s">
        <v>1011</v>
      </c>
      <c r="F217" s="4" t="s">
        <v>1012</v>
      </c>
      <c r="G217" s="4" t="s">
        <v>20</v>
      </c>
      <c r="H217" s="4">
        <v>6.8</v>
      </c>
      <c r="I217" s="4">
        <v>6.8</v>
      </c>
      <c r="J217" s="4" t="s">
        <v>46</v>
      </c>
      <c r="K217" s="4">
        <v>1.6</v>
      </c>
      <c r="L217" s="4">
        <v>1.7080000000000001E-2</v>
      </c>
      <c r="M217" s="4">
        <v>1.1000000000000001</v>
      </c>
      <c r="N217" s="4">
        <v>10</v>
      </c>
      <c r="O217" s="7" t="s">
        <v>1013</v>
      </c>
      <c r="P217">
        <f>SUM(A217:O217)</f>
        <v>241.31708</v>
      </c>
    </row>
    <row r="218" spans="1:16" ht="31.2">
      <c r="A218" s="4">
        <v>216</v>
      </c>
      <c r="B218" s="5" t="s">
        <v>1014</v>
      </c>
      <c r="C218" s="5" t="s">
        <v>1015</v>
      </c>
      <c r="D218" s="9" t="s">
        <v>172</v>
      </c>
      <c r="E218" s="4" t="s">
        <v>1016</v>
      </c>
      <c r="F218" s="4" t="s">
        <v>1017</v>
      </c>
      <c r="G218" s="4" t="s">
        <v>20</v>
      </c>
      <c r="H218" s="4">
        <v>10.3</v>
      </c>
      <c r="I218" s="4">
        <v>10.3</v>
      </c>
      <c r="J218" s="4" t="s">
        <v>46</v>
      </c>
      <c r="K218" s="4">
        <v>2.17</v>
      </c>
      <c r="L218" s="4">
        <v>7.7560000000000004E-2</v>
      </c>
      <c r="M218" s="4">
        <v>2.6070000000000002</v>
      </c>
      <c r="N218" s="4">
        <v>19.3</v>
      </c>
      <c r="O218" s="7" t="s">
        <v>1018</v>
      </c>
      <c r="P218">
        <f>SUM(A218:O218)</f>
        <v>260.75456000000003</v>
      </c>
    </row>
    <row r="219" spans="1:16" ht="31.2">
      <c r="A219" s="4">
        <v>217</v>
      </c>
      <c r="B219" s="5" t="s">
        <v>1019</v>
      </c>
      <c r="C219" s="5" t="s">
        <v>1020</v>
      </c>
      <c r="D219" s="9" t="s">
        <v>172</v>
      </c>
      <c r="E219" s="4" t="s">
        <v>1021</v>
      </c>
      <c r="F219" s="4" t="s">
        <v>1022</v>
      </c>
      <c r="G219" s="4" t="s">
        <v>20</v>
      </c>
      <c r="H219" s="4">
        <v>8.5</v>
      </c>
      <c r="I219" s="4">
        <v>9</v>
      </c>
      <c r="J219" s="4" t="s">
        <v>46</v>
      </c>
      <c r="K219" s="4">
        <v>1.96</v>
      </c>
      <c r="L219" s="4">
        <v>4.13E-3</v>
      </c>
      <c r="M219" s="4">
        <v>2.4950000000000001</v>
      </c>
      <c r="N219" s="4">
        <v>15.5</v>
      </c>
      <c r="O219" s="7" t="s">
        <v>1023</v>
      </c>
      <c r="P219">
        <f>SUM(A219:O219)</f>
        <v>254.45913000000002</v>
      </c>
    </row>
    <row r="220" spans="1:16" ht="31.2">
      <c r="A220" s="4">
        <v>218</v>
      </c>
      <c r="B220" s="5" t="s">
        <v>1024</v>
      </c>
      <c r="C220" s="5" t="s">
        <v>1025</v>
      </c>
      <c r="D220" s="9" t="s">
        <v>172</v>
      </c>
      <c r="E220" s="4" t="s">
        <v>1026</v>
      </c>
      <c r="F220" s="4" t="s">
        <v>1027</v>
      </c>
      <c r="G220" s="4" t="s">
        <v>20</v>
      </c>
      <c r="H220" s="4">
        <v>13.4</v>
      </c>
      <c r="I220" s="4">
        <v>12.8</v>
      </c>
      <c r="J220" s="4" t="s">
        <v>46</v>
      </c>
      <c r="K220" s="4">
        <v>2.91</v>
      </c>
      <c r="L220" s="4">
        <v>2.0559999999999998E-2</v>
      </c>
      <c r="M220" s="4">
        <v>3.7130000000000001</v>
      </c>
      <c r="N220" s="4">
        <v>21.9</v>
      </c>
      <c r="O220" s="7" t="s">
        <v>1028</v>
      </c>
      <c r="P220">
        <f>SUM(A220:O220)</f>
        <v>272.74356</v>
      </c>
    </row>
    <row r="221" spans="1:16" ht="31.2" hidden="1">
      <c r="A221" s="4">
        <v>219</v>
      </c>
      <c r="B221" s="5" t="s">
        <v>1029</v>
      </c>
      <c r="C221" s="5" t="s">
        <v>1030</v>
      </c>
      <c r="D221" s="9" t="s">
        <v>172</v>
      </c>
      <c r="E221" s="4" t="s">
        <v>1031</v>
      </c>
      <c r="F221" s="4" t="s">
        <v>1032</v>
      </c>
      <c r="G221" s="4" t="s">
        <v>20</v>
      </c>
      <c r="H221" s="4">
        <v>5.0999999999999996</v>
      </c>
      <c r="I221" s="4">
        <v>5.3</v>
      </c>
      <c r="J221" s="4" t="s">
        <v>21</v>
      </c>
      <c r="K221" s="4">
        <v>1.18</v>
      </c>
      <c r="L221" s="4">
        <v>3.1050000000000001E-2</v>
      </c>
      <c r="M221" s="4">
        <v>1.462</v>
      </c>
      <c r="N221" s="4">
        <v>9.4</v>
      </c>
      <c r="O221" s="7" t="s">
        <v>1033</v>
      </c>
      <c r="P221">
        <f>SUM(A221:O221)</f>
        <v>241.47305</v>
      </c>
    </row>
    <row r="222" spans="1:16" ht="31.2">
      <c r="A222" s="4">
        <v>220</v>
      </c>
      <c r="B222" s="5" t="s">
        <v>1034</v>
      </c>
      <c r="C222" s="5" t="s">
        <v>1035</v>
      </c>
      <c r="D222" s="9" t="s">
        <v>172</v>
      </c>
      <c r="E222" s="4" t="s">
        <v>1036</v>
      </c>
      <c r="F222" s="4" t="s">
        <v>1037</v>
      </c>
      <c r="G222" s="4" t="s">
        <v>20</v>
      </c>
      <c r="H222" s="4">
        <v>18.3</v>
      </c>
      <c r="I222" s="4">
        <v>15.5</v>
      </c>
      <c r="J222" s="4" t="s">
        <v>46</v>
      </c>
      <c r="K222" s="4">
        <v>3.09</v>
      </c>
      <c r="L222" s="4">
        <v>2.137E-2</v>
      </c>
      <c r="M222" s="4">
        <v>3.8380000000000001</v>
      </c>
      <c r="N222" s="4">
        <v>27.7</v>
      </c>
      <c r="O222" s="7" t="s">
        <v>1038</v>
      </c>
      <c r="P222">
        <f>SUM(A222:O222)</f>
        <v>288.44936999999999</v>
      </c>
    </row>
    <row r="223" spans="1:16" ht="31.2">
      <c r="A223" s="4">
        <v>221</v>
      </c>
      <c r="B223" s="5" t="s">
        <v>1039</v>
      </c>
      <c r="C223" s="5" t="s">
        <v>1040</v>
      </c>
      <c r="D223" s="9" t="s">
        <v>172</v>
      </c>
      <c r="E223" s="4" t="s">
        <v>1041</v>
      </c>
      <c r="F223" s="4" t="s">
        <v>1042</v>
      </c>
      <c r="G223" s="4" t="s">
        <v>20</v>
      </c>
      <c r="H223" s="4">
        <v>6.3</v>
      </c>
      <c r="I223" s="4">
        <v>7.1</v>
      </c>
      <c r="J223" s="4" t="s">
        <v>46</v>
      </c>
      <c r="K223" s="4">
        <v>1.39</v>
      </c>
      <c r="L223" s="4">
        <v>2.6270000000000002E-2</v>
      </c>
      <c r="M223" s="4">
        <v>1.5640000000000001</v>
      </c>
      <c r="N223" s="4">
        <v>13.9</v>
      </c>
      <c r="O223" s="7" t="s">
        <v>1043</v>
      </c>
      <c r="P223">
        <f>SUM(A223:O223)</f>
        <v>251.28027</v>
      </c>
    </row>
    <row r="224" spans="1:16" ht="31.2" hidden="1">
      <c r="A224" s="4">
        <v>222</v>
      </c>
      <c r="B224" s="5" t="s">
        <v>1044</v>
      </c>
      <c r="C224" s="5" t="s">
        <v>1045</v>
      </c>
      <c r="D224" s="9" t="s">
        <v>172</v>
      </c>
      <c r="E224" s="4" t="s">
        <v>1046</v>
      </c>
      <c r="F224" s="4" t="s">
        <v>1047</v>
      </c>
      <c r="G224" s="4" t="s">
        <v>20</v>
      </c>
      <c r="H224" s="4">
        <v>2.2000000000000002</v>
      </c>
      <c r="I224" s="4">
        <v>2.6</v>
      </c>
      <c r="J224" s="4" t="s">
        <v>32</v>
      </c>
      <c r="K224" s="4">
        <v>0.5</v>
      </c>
      <c r="L224" s="4">
        <v>1.01E-3</v>
      </c>
      <c r="M224" s="4">
        <v>0.44900000000000001</v>
      </c>
      <c r="N224" s="4">
        <v>5.0999999999999996</v>
      </c>
      <c r="O224" s="7" t="s">
        <v>1048</v>
      </c>
      <c r="P224">
        <f>SUM(A224:O224)</f>
        <v>232.85001</v>
      </c>
    </row>
    <row r="225" spans="1:16" ht="31.2">
      <c r="A225" s="4">
        <v>223</v>
      </c>
      <c r="B225" s="5" t="s">
        <v>1049</v>
      </c>
      <c r="C225" s="5" t="s">
        <v>1050</v>
      </c>
      <c r="D225" s="9" t="s">
        <v>172</v>
      </c>
      <c r="E225" s="4" t="s">
        <v>1051</v>
      </c>
      <c r="F225" s="4" t="s">
        <v>1052</v>
      </c>
      <c r="G225" s="4" t="s">
        <v>20</v>
      </c>
      <c r="H225" s="4">
        <v>5.2</v>
      </c>
      <c r="I225" s="4">
        <v>5.0999999999999996</v>
      </c>
      <c r="J225" s="4" t="s">
        <v>46</v>
      </c>
      <c r="K225" s="4">
        <v>1.19</v>
      </c>
      <c r="L225" s="4">
        <v>2.811E-2</v>
      </c>
      <c r="M225" s="4">
        <v>0.84</v>
      </c>
      <c r="N225" s="4">
        <v>9.1999999999999993</v>
      </c>
      <c r="O225" s="7" t="s">
        <v>1053</v>
      </c>
      <c r="P225">
        <f>SUM(A225:O225)</f>
        <v>244.55810999999997</v>
      </c>
    </row>
    <row r="226" spans="1:16" ht="31.2" hidden="1">
      <c r="A226" s="4">
        <v>224</v>
      </c>
      <c r="B226" s="5" t="s">
        <v>1054</v>
      </c>
      <c r="C226" s="5" t="s">
        <v>1055</v>
      </c>
      <c r="D226" s="9" t="s">
        <v>172</v>
      </c>
      <c r="E226" s="4" t="s">
        <v>1056</v>
      </c>
      <c r="F226" s="4" t="s">
        <v>1057</v>
      </c>
      <c r="G226" s="4" t="s">
        <v>20</v>
      </c>
      <c r="H226" s="4">
        <v>3.5</v>
      </c>
      <c r="I226" s="4">
        <v>3.4</v>
      </c>
      <c r="J226" s="4" t="s">
        <v>21</v>
      </c>
      <c r="K226" s="4">
        <v>0.62</v>
      </c>
      <c r="L226" s="4">
        <v>2.7000000000000001E-3</v>
      </c>
      <c r="M226" s="4">
        <v>0.59799999999999998</v>
      </c>
      <c r="N226" s="4">
        <v>6.3</v>
      </c>
      <c r="O226" s="7" t="s">
        <v>1058</v>
      </c>
      <c r="P226">
        <f>SUM(A226:O226)</f>
        <v>238.42070000000004</v>
      </c>
    </row>
    <row r="227" spans="1:16" ht="31.2">
      <c r="A227" s="4">
        <v>225</v>
      </c>
      <c r="B227" s="5" t="s">
        <v>1059</v>
      </c>
      <c r="C227" s="5" t="s">
        <v>1060</v>
      </c>
      <c r="D227" s="9" t="s">
        <v>172</v>
      </c>
      <c r="E227" s="4" t="s">
        <v>1061</v>
      </c>
      <c r="F227" s="4" t="s">
        <v>1062</v>
      </c>
      <c r="G227" s="4" t="s">
        <v>20</v>
      </c>
      <c r="H227" s="4">
        <v>30.9</v>
      </c>
      <c r="I227" s="4">
        <v>30</v>
      </c>
      <c r="J227" s="4" t="s">
        <v>46</v>
      </c>
      <c r="K227" s="4">
        <v>5.04</v>
      </c>
      <c r="L227" s="4">
        <v>2.3609999999999999E-2</v>
      </c>
      <c r="M227" s="4">
        <v>7.9180000000000001</v>
      </c>
      <c r="N227" s="4">
        <v>60.3</v>
      </c>
      <c r="O227" s="7" t="s">
        <v>1063</v>
      </c>
      <c r="P227">
        <f>SUM(A227:O227)</f>
        <v>359.18161000000003</v>
      </c>
    </row>
    <row r="228" spans="1:16" ht="31.2">
      <c r="A228" s="4">
        <v>226</v>
      </c>
      <c r="B228" s="5" t="s">
        <v>1064</v>
      </c>
      <c r="C228" s="5" t="s">
        <v>1065</v>
      </c>
      <c r="D228" s="10" t="s">
        <v>1066</v>
      </c>
      <c r="E228" s="4" t="s">
        <v>1067</v>
      </c>
      <c r="F228" s="4" t="s">
        <v>1068</v>
      </c>
      <c r="G228" s="4" t="s">
        <v>20</v>
      </c>
      <c r="H228" s="4">
        <v>5.0999999999999996</v>
      </c>
      <c r="I228" s="4">
        <v>5</v>
      </c>
      <c r="J228" s="4" t="s">
        <v>46</v>
      </c>
      <c r="K228" s="4">
        <v>1.24</v>
      </c>
      <c r="L228" s="4">
        <v>1.7700000000000001E-3</v>
      </c>
      <c r="M228" s="4">
        <v>0.98</v>
      </c>
      <c r="N228" s="4">
        <v>8.5</v>
      </c>
      <c r="O228" s="7" t="s">
        <v>1069</v>
      </c>
      <c r="P228">
        <f>SUM(A228:O228)</f>
        <v>246.82176999999999</v>
      </c>
    </row>
    <row r="229" spans="1:16" ht="31.2">
      <c r="A229" s="4">
        <v>227</v>
      </c>
      <c r="B229" s="5" t="s">
        <v>1070</v>
      </c>
      <c r="C229" s="5" t="s">
        <v>1071</v>
      </c>
      <c r="D229" s="10" t="s">
        <v>1066</v>
      </c>
      <c r="E229" s="4" t="s">
        <v>1072</v>
      </c>
      <c r="F229" s="4" t="s">
        <v>1073</v>
      </c>
      <c r="G229" s="4" t="s">
        <v>20</v>
      </c>
      <c r="H229" s="4">
        <v>5.6</v>
      </c>
      <c r="I229" s="4">
        <v>7.5</v>
      </c>
      <c r="J229" s="4" t="s">
        <v>46</v>
      </c>
      <c r="K229" s="4">
        <v>0.94</v>
      </c>
      <c r="L229" s="4">
        <v>1.1000000000000001E-3</v>
      </c>
      <c r="M229" s="4">
        <v>1.6319999999999999</v>
      </c>
      <c r="N229" s="4">
        <v>6.4</v>
      </c>
      <c r="O229" s="7" t="s">
        <v>1074</v>
      </c>
      <c r="P229">
        <f>SUM(A229:O229)</f>
        <v>249.07310000000001</v>
      </c>
    </row>
    <row r="230" spans="1:16" ht="31.2">
      <c r="A230" s="4">
        <v>228</v>
      </c>
      <c r="B230" s="5" t="s">
        <v>1075</v>
      </c>
      <c r="C230" s="5" t="s">
        <v>1076</v>
      </c>
      <c r="D230" s="10" t="s">
        <v>1066</v>
      </c>
      <c r="E230" s="4" t="s">
        <v>1077</v>
      </c>
      <c r="F230" s="4" t="s">
        <v>1078</v>
      </c>
      <c r="G230" s="4" t="s">
        <v>20</v>
      </c>
      <c r="H230" s="4">
        <v>7.7</v>
      </c>
      <c r="I230" s="4">
        <v>9.8000000000000007</v>
      </c>
      <c r="J230" s="4" t="s">
        <v>46</v>
      </c>
      <c r="K230" s="4">
        <v>1.69</v>
      </c>
      <c r="L230" s="4">
        <v>2.0699999999999998E-3</v>
      </c>
      <c r="M230" s="4">
        <v>2.4990000000000001</v>
      </c>
      <c r="N230" s="4">
        <v>17.600000000000001</v>
      </c>
      <c r="O230" s="7" t="s">
        <v>1079</v>
      </c>
      <c r="P230">
        <f>SUM(A230:O230)</f>
        <v>267.29106999999999</v>
      </c>
    </row>
    <row r="231" spans="1:16" ht="31.2" hidden="1">
      <c r="A231" s="4">
        <v>229</v>
      </c>
      <c r="B231" s="5" t="s">
        <v>1080</v>
      </c>
      <c r="C231" s="5" t="s">
        <v>1081</v>
      </c>
      <c r="D231" s="10" t="s">
        <v>1066</v>
      </c>
      <c r="E231" s="4" t="s">
        <v>1082</v>
      </c>
      <c r="F231" s="4" t="s">
        <v>1083</v>
      </c>
      <c r="G231" s="4" t="s">
        <v>20</v>
      </c>
      <c r="H231" s="4">
        <v>5</v>
      </c>
      <c r="I231" s="4">
        <v>3.9</v>
      </c>
      <c r="J231" s="4" t="s">
        <v>21</v>
      </c>
      <c r="K231" s="4">
        <v>1.31</v>
      </c>
      <c r="L231" s="4">
        <v>1.6000000000000001E-3</v>
      </c>
      <c r="M231" s="4">
        <v>0.624</v>
      </c>
      <c r="N231" s="4">
        <v>12.1</v>
      </c>
      <c r="O231" s="7" t="s">
        <v>1084</v>
      </c>
      <c r="P231">
        <f>SUM(A231:O231)</f>
        <v>251.93559999999999</v>
      </c>
    </row>
    <row r="232" spans="1:16" ht="31.2">
      <c r="A232" s="4">
        <v>230</v>
      </c>
      <c r="B232" s="5" t="s">
        <v>1085</v>
      </c>
      <c r="C232" s="5" t="s">
        <v>1086</v>
      </c>
      <c r="D232" s="10" t="s">
        <v>1066</v>
      </c>
      <c r="E232" s="4" t="s">
        <v>1087</v>
      </c>
      <c r="F232" s="4" t="s">
        <v>1088</v>
      </c>
      <c r="G232" s="4" t="s">
        <v>20</v>
      </c>
      <c r="H232" s="4">
        <v>6.9</v>
      </c>
      <c r="I232" s="4">
        <v>7</v>
      </c>
      <c r="J232" s="4" t="s">
        <v>46</v>
      </c>
      <c r="K232" s="4">
        <v>1.29</v>
      </c>
      <c r="L232" s="4">
        <v>2.5899999999999999E-3</v>
      </c>
      <c r="M232" s="4">
        <v>2.5499999999999998</v>
      </c>
      <c r="N232" s="4">
        <v>9</v>
      </c>
      <c r="O232" s="7" t="s">
        <v>1089</v>
      </c>
      <c r="P232">
        <f>SUM(A232:O232)</f>
        <v>256.74259000000001</v>
      </c>
    </row>
    <row r="233" spans="1:16" ht="31.2" hidden="1">
      <c r="A233" s="4">
        <v>231</v>
      </c>
      <c r="B233" s="5" t="s">
        <v>1090</v>
      </c>
      <c r="C233" s="5" t="s">
        <v>1091</v>
      </c>
      <c r="D233" s="10" t="s">
        <v>1066</v>
      </c>
      <c r="E233" s="4" t="s">
        <v>1092</v>
      </c>
      <c r="F233" s="4" t="s">
        <v>1093</v>
      </c>
      <c r="G233" s="4" t="s">
        <v>20</v>
      </c>
      <c r="H233" s="4">
        <v>2</v>
      </c>
      <c r="I233" s="4">
        <v>1.8</v>
      </c>
      <c r="J233" s="4" t="s">
        <v>32</v>
      </c>
      <c r="K233" s="4">
        <v>0.44</v>
      </c>
      <c r="L233" s="4">
        <v>8.8000000000000003E-4</v>
      </c>
      <c r="M233" s="4">
        <v>0.41199999999999998</v>
      </c>
      <c r="N233" s="4">
        <v>4.2</v>
      </c>
      <c r="O233" s="7" t="s">
        <v>1094</v>
      </c>
      <c r="P233">
        <f>SUM(A233:O233)</f>
        <v>239.85288</v>
      </c>
    </row>
    <row r="234" spans="1:16" ht="31.2" hidden="1">
      <c r="A234" s="4">
        <v>232</v>
      </c>
      <c r="B234" s="5" t="s">
        <v>1095</v>
      </c>
      <c r="C234" s="5" t="s">
        <v>1096</v>
      </c>
      <c r="D234" s="10" t="s">
        <v>1066</v>
      </c>
      <c r="E234" s="4" t="s">
        <v>1097</v>
      </c>
      <c r="F234" s="4" t="s">
        <v>1098</v>
      </c>
      <c r="G234" s="4" t="s">
        <v>31</v>
      </c>
      <c r="H234" s="4">
        <v>2.9</v>
      </c>
      <c r="I234" s="4">
        <v>3.5</v>
      </c>
      <c r="J234" s="4" t="s">
        <v>21</v>
      </c>
      <c r="K234" s="4">
        <v>0.66</v>
      </c>
      <c r="L234" s="4">
        <v>1.09E-3</v>
      </c>
      <c r="M234" s="4">
        <v>0.86699999999999999</v>
      </c>
      <c r="N234" s="4">
        <v>6</v>
      </c>
      <c r="O234" s="7" t="s">
        <v>1099</v>
      </c>
      <c r="P234">
        <f>SUM(A234:O234)</f>
        <v>245.92809</v>
      </c>
    </row>
    <row r="235" spans="1:16" ht="31.2" hidden="1">
      <c r="A235" s="4">
        <v>233</v>
      </c>
      <c r="B235" s="5" t="s">
        <v>1100</v>
      </c>
      <c r="C235" s="5" t="s">
        <v>1101</v>
      </c>
      <c r="D235" s="10" t="s">
        <v>1066</v>
      </c>
      <c r="E235" s="4" t="s">
        <v>1102</v>
      </c>
      <c r="F235" s="4" t="s">
        <v>1103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4" t="s">
        <v>25</v>
      </c>
      <c r="O235" s="7" t="s">
        <v>1104</v>
      </c>
      <c r="P235">
        <f>SUM(A235:O235)</f>
        <v>233</v>
      </c>
    </row>
    <row r="236" spans="1:16" ht="31.2" hidden="1">
      <c r="A236" s="4">
        <v>234</v>
      </c>
      <c r="B236" s="5" t="s">
        <v>1105</v>
      </c>
      <c r="C236" s="5" t="s">
        <v>1106</v>
      </c>
      <c r="D236" s="10" t="s">
        <v>1066</v>
      </c>
      <c r="E236" s="4" t="s">
        <v>1107</v>
      </c>
      <c r="F236" s="4" t="s">
        <v>1108</v>
      </c>
      <c r="G236" s="4" t="s">
        <v>20</v>
      </c>
      <c r="H236" s="4">
        <v>3.3</v>
      </c>
      <c r="I236" s="4">
        <v>6.7</v>
      </c>
      <c r="J236" s="4" t="s">
        <v>21</v>
      </c>
      <c r="K236" s="4">
        <v>1.39</v>
      </c>
      <c r="L236" s="4">
        <v>2.0500000000000002E-3</v>
      </c>
      <c r="M236" s="4">
        <v>1.63</v>
      </c>
      <c r="N236" s="4">
        <v>11.2</v>
      </c>
      <c r="O236" s="7" t="s">
        <v>1109</v>
      </c>
      <c r="P236">
        <f>SUM(A236:O236)</f>
        <v>258.22204999999997</v>
      </c>
    </row>
    <row r="237" spans="1:16" ht="31.2">
      <c r="A237" s="4">
        <v>235</v>
      </c>
      <c r="B237" s="5" t="s">
        <v>1110</v>
      </c>
      <c r="C237" s="5" t="s">
        <v>1111</v>
      </c>
      <c r="D237" s="10" t="s">
        <v>1066</v>
      </c>
      <c r="E237" s="4" t="s">
        <v>1112</v>
      </c>
      <c r="F237" s="4" t="s">
        <v>1113</v>
      </c>
      <c r="G237" s="4" t="s">
        <v>20</v>
      </c>
      <c r="H237" s="4">
        <v>5.5</v>
      </c>
      <c r="I237" s="4">
        <v>5</v>
      </c>
      <c r="J237" s="4" t="s">
        <v>46</v>
      </c>
      <c r="K237" s="4">
        <v>1.04</v>
      </c>
      <c r="L237" s="4">
        <v>3.0699999999999998E-3</v>
      </c>
      <c r="M237" s="4">
        <v>1.0720000000000001</v>
      </c>
      <c r="N237" s="4">
        <v>14.8</v>
      </c>
      <c r="O237" s="7" t="s">
        <v>1114</v>
      </c>
      <c r="P237">
        <f>SUM(A237:O237)</f>
        <v>262.41507000000001</v>
      </c>
    </row>
    <row r="238" spans="1:16" ht="31.2" hidden="1">
      <c r="A238" s="4">
        <v>236</v>
      </c>
      <c r="B238" s="5" t="s">
        <v>1115</v>
      </c>
      <c r="C238" s="5" t="s">
        <v>1116</v>
      </c>
      <c r="D238" s="10" t="s">
        <v>1066</v>
      </c>
      <c r="E238" s="4" t="s">
        <v>1117</v>
      </c>
      <c r="F238" s="4" t="s">
        <v>1117</v>
      </c>
      <c r="G238" s="4" t="s">
        <v>20</v>
      </c>
      <c r="H238" s="4">
        <v>1.6</v>
      </c>
      <c r="I238" s="4">
        <v>1.2</v>
      </c>
      <c r="J238" s="4" t="s">
        <v>32</v>
      </c>
      <c r="K238" s="4">
        <v>0.37</v>
      </c>
      <c r="L238" s="4">
        <v>1.39E-3</v>
      </c>
      <c r="M238" s="4">
        <v>0.19500000000000001</v>
      </c>
      <c r="N238" s="4">
        <v>4.3</v>
      </c>
      <c r="O238" s="7" t="s">
        <v>1118</v>
      </c>
      <c r="P238">
        <f>SUM(A238:O238)</f>
        <v>243.66638999999998</v>
      </c>
    </row>
    <row r="239" spans="1:16" ht="31.2" hidden="1">
      <c r="A239" s="4">
        <v>237</v>
      </c>
      <c r="B239" s="5" t="s">
        <v>1119</v>
      </c>
      <c r="C239" s="5" t="s">
        <v>1120</v>
      </c>
      <c r="D239" s="10" t="s">
        <v>1066</v>
      </c>
      <c r="E239" s="4" t="s">
        <v>1121</v>
      </c>
      <c r="F239" s="4" t="s">
        <v>1122</v>
      </c>
      <c r="G239" s="4" t="s">
        <v>20</v>
      </c>
      <c r="H239" s="4">
        <v>3</v>
      </c>
      <c r="I239" s="4">
        <v>3.8</v>
      </c>
      <c r="J239" s="4" t="s">
        <v>21</v>
      </c>
      <c r="K239" s="4">
        <v>0.83</v>
      </c>
      <c r="L239" s="4">
        <v>2.0600000000000002E-3</v>
      </c>
      <c r="M239" s="4">
        <v>0.85799999999999998</v>
      </c>
      <c r="N239" s="4">
        <v>4.0999999999999996</v>
      </c>
      <c r="O239" s="7" t="s">
        <v>1123</v>
      </c>
      <c r="P239">
        <f>SUM(A239:O239)</f>
        <v>249.59006000000002</v>
      </c>
    </row>
    <row r="240" spans="1:16" ht="31.2" hidden="1">
      <c r="A240" s="4">
        <v>238</v>
      </c>
      <c r="B240" s="5" t="s">
        <v>1124</v>
      </c>
      <c r="C240" s="5" t="s">
        <v>1125</v>
      </c>
      <c r="D240" s="10" t="s">
        <v>1066</v>
      </c>
      <c r="E240" s="4" t="s">
        <v>1126</v>
      </c>
      <c r="F240" s="4" t="s">
        <v>1127</v>
      </c>
      <c r="G240" s="4" t="s">
        <v>31</v>
      </c>
      <c r="H240" s="4">
        <v>2.4</v>
      </c>
      <c r="I240" s="4">
        <v>2.5</v>
      </c>
      <c r="J240" s="4" t="s">
        <v>185</v>
      </c>
      <c r="K240" s="4">
        <v>0.28000000000000003</v>
      </c>
      <c r="L240" s="4">
        <v>4.4999999999999999E-4</v>
      </c>
      <c r="M240" s="4">
        <v>0.46800000000000003</v>
      </c>
      <c r="N240" s="4">
        <v>4.2</v>
      </c>
      <c r="O240" s="7" t="s">
        <v>1128</v>
      </c>
      <c r="P240">
        <f>SUM(A240:O240)</f>
        <v>247.84844999999999</v>
      </c>
    </row>
    <row r="241" spans="1:16" ht="31.2" hidden="1">
      <c r="A241" s="4">
        <v>239</v>
      </c>
      <c r="B241" s="5" t="s">
        <v>1129</v>
      </c>
      <c r="C241" s="5" t="s">
        <v>1130</v>
      </c>
      <c r="D241" s="10" t="s">
        <v>1066</v>
      </c>
      <c r="E241" s="4" t="s">
        <v>1131</v>
      </c>
      <c r="F241" s="4" t="s">
        <v>1132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4" t="s">
        <v>25</v>
      </c>
      <c r="M241" s="4" t="s">
        <v>25</v>
      </c>
      <c r="N241" s="4">
        <v>1.9</v>
      </c>
      <c r="O241" s="7" t="s">
        <v>1133</v>
      </c>
      <c r="P241">
        <f>SUM(A241:O241)</f>
        <v>240.9</v>
      </c>
    </row>
    <row r="242" spans="1:16" ht="31.2" hidden="1">
      <c r="A242" s="4">
        <v>240</v>
      </c>
      <c r="B242" s="5" t="s">
        <v>1134</v>
      </c>
      <c r="C242" s="5" t="s">
        <v>1135</v>
      </c>
      <c r="D242" s="10" t="s">
        <v>1066</v>
      </c>
      <c r="E242" s="4" t="s">
        <v>1136</v>
      </c>
      <c r="F242" s="4" t="s">
        <v>1137</v>
      </c>
      <c r="G242" s="4" t="s">
        <v>20</v>
      </c>
      <c r="H242" s="4">
        <v>2.9</v>
      </c>
      <c r="I242" s="4">
        <v>3.1</v>
      </c>
      <c r="J242" s="4" t="s">
        <v>21</v>
      </c>
      <c r="K242" s="4">
        <v>0.66</v>
      </c>
      <c r="L242" s="4">
        <v>1.42E-3</v>
      </c>
      <c r="M242" s="4">
        <v>0.745</v>
      </c>
      <c r="N242" s="4">
        <v>5.8</v>
      </c>
      <c r="O242" s="7" t="s">
        <v>1138</v>
      </c>
      <c r="P242">
        <f>SUM(A242:O242)</f>
        <v>253.20642000000001</v>
      </c>
    </row>
    <row r="243" spans="1:16" ht="31.2" hidden="1">
      <c r="A243" s="4">
        <v>241</v>
      </c>
      <c r="B243" s="5" t="s">
        <v>1139</v>
      </c>
      <c r="C243" s="5" t="s">
        <v>1140</v>
      </c>
      <c r="D243" s="10" t="s">
        <v>1066</v>
      </c>
      <c r="E243" s="4" t="s">
        <v>1141</v>
      </c>
      <c r="F243" s="4" t="s">
        <v>1142</v>
      </c>
      <c r="G243" s="4" t="s">
        <v>31</v>
      </c>
      <c r="H243" s="4">
        <v>2.6</v>
      </c>
      <c r="I243" s="4">
        <v>2.6</v>
      </c>
      <c r="J243" s="4" t="s">
        <v>32</v>
      </c>
      <c r="K243" s="4">
        <v>0.65</v>
      </c>
      <c r="L243" s="4">
        <v>5.6999999999999998E-4</v>
      </c>
      <c r="M243" s="4">
        <v>0.53800000000000003</v>
      </c>
      <c r="N243" s="4">
        <v>3.4</v>
      </c>
      <c r="O243" s="7" t="s">
        <v>1143</v>
      </c>
      <c r="P243">
        <f>SUM(A243:O243)</f>
        <v>250.78857000000002</v>
      </c>
    </row>
    <row r="244" spans="1:16" ht="31.2" hidden="1">
      <c r="A244" s="4">
        <v>242</v>
      </c>
      <c r="B244" s="5" t="s">
        <v>1144</v>
      </c>
      <c r="C244" s="5" t="s">
        <v>1145</v>
      </c>
      <c r="D244" s="10" t="s">
        <v>1066</v>
      </c>
      <c r="E244" s="4" t="s">
        <v>1146</v>
      </c>
      <c r="F244" s="4" t="s">
        <v>1147</v>
      </c>
      <c r="G244" s="4" t="s">
        <v>20</v>
      </c>
      <c r="H244" s="4">
        <v>1.2</v>
      </c>
      <c r="I244" s="4">
        <v>0.6</v>
      </c>
      <c r="J244" s="4" t="s">
        <v>185</v>
      </c>
      <c r="K244" s="4">
        <v>0.05</v>
      </c>
      <c r="L244" s="4">
        <v>1.6000000000000001E-4</v>
      </c>
      <c r="M244" s="4">
        <v>0.15</v>
      </c>
      <c r="N244" s="4">
        <v>0.6</v>
      </c>
      <c r="O244" s="7" t="s">
        <v>1148</v>
      </c>
      <c r="P244">
        <f>SUM(A244:O244)</f>
        <v>244.60015999999999</v>
      </c>
    </row>
    <row r="245" spans="1:16" ht="31.2">
      <c r="A245" s="4">
        <v>243</v>
      </c>
      <c r="B245" s="5" t="s">
        <v>1149</v>
      </c>
      <c r="C245" s="5" t="s">
        <v>1150</v>
      </c>
      <c r="D245" s="10" t="s">
        <v>1066</v>
      </c>
      <c r="E245" s="4" t="s">
        <v>1151</v>
      </c>
      <c r="F245" s="4" t="s">
        <v>1152</v>
      </c>
      <c r="G245" s="4" t="s">
        <v>20</v>
      </c>
      <c r="H245" s="4">
        <v>10.8</v>
      </c>
      <c r="I245" s="4">
        <v>16.8</v>
      </c>
      <c r="J245" s="4" t="s">
        <v>46</v>
      </c>
      <c r="K245" s="4">
        <v>2.2400000000000002</v>
      </c>
      <c r="L245" s="4">
        <v>1.047E-2</v>
      </c>
      <c r="M245" s="4">
        <v>4.883</v>
      </c>
      <c r="N245" s="4">
        <v>20.8</v>
      </c>
      <c r="O245" s="7" t="s">
        <v>1153</v>
      </c>
      <c r="P245">
        <f>SUM(A245:O245)</f>
        <v>298.53347000000002</v>
      </c>
    </row>
    <row r="246" spans="1:16" ht="31.2" hidden="1">
      <c r="A246" s="4">
        <v>244</v>
      </c>
      <c r="B246" s="5" t="s">
        <v>1154</v>
      </c>
      <c r="C246" s="5" t="s">
        <v>1155</v>
      </c>
      <c r="D246" s="10" t="s">
        <v>1066</v>
      </c>
      <c r="E246" s="4" t="s">
        <v>1156</v>
      </c>
      <c r="F246" s="4" t="s">
        <v>1157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>
        <v>2.7</v>
      </c>
      <c r="O246" s="7" t="s">
        <v>1158</v>
      </c>
      <c r="P246">
        <f>SUM(A246:O246)</f>
        <v>246.7</v>
      </c>
    </row>
    <row r="247" spans="1:16" ht="31.2" hidden="1">
      <c r="A247" s="4">
        <v>245</v>
      </c>
      <c r="B247" s="5" t="s">
        <v>1159</v>
      </c>
      <c r="C247" s="5" t="s">
        <v>1160</v>
      </c>
      <c r="D247" s="10" t="s">
        <v>1066</v>
      </c>
      <c r="E247" s="4" t="s">
        <v>1161</v>
      </c>
      <c r="F247" s="4" t="s">
        <v>1162</v>
      </c>
      <c r="G247" s="4" t="s">
        <v>31</v>
      </c>
      <c r="H247" s="4">
        <v>2.4</v>
      </c>
      <c r="I247" s="4">
        <v>2.6</v>
      </c>
      <c r="J247" s="4" t="s">
        <v>32</v>
      </c>
      <c r="K247" s="4">
        <v>0.45</v>
      </c>
      <c r="L247" s="4">
        <v>4.4999999999999999E-4</v>
      </c>
      <c r="M247" s="4">
        <v>0.52600000000000002</v>
      </c>
      <c r="N247" s="4" t="s">
        <v>25</v>
      </c>
      <c r="O247" s="7" t="s">
        <v>1163</v>
      </c>
      <c r="P247">
        <f>SUM(A247:O247)</f>
        <v>250.97645</v>
      </c>
    </row>
    <row r="248" spans="1:16" ht="31.2" hidden="1">
      <c r="A248" s="4">
        <v>246</v>
      </c>
      <c r="B248" s="5" t="s">
        <v>1164</v>
      </c>
      <c r="C248" s="5" t="s">
        <v>1165</v>
      </c>
      <c r="D248" s="10" t="s">
        <v>1066</v>
      </c>
      <c r="E248" s="4" t="s">
        <v>1166</v>
      </c>
      <c r="F248" s="4" t="s">
        <v>1167</v>
      </c>
      <c r="G248" s="4" t="s">
        <v>20</v>
      </c>
      <c r="H248" s="4">
        <v>2.8</v>
      </c>
      <c r="I248" s="4">
        <v>3.2</v>
      </c>
      <c r="J248" s="4" t="s">
        <v>21</v>
      </c>
      <c r="K248" s="4">
        <v>0.37</v>
      </c>
      <c r="L248" s="4">
        <v>6.0999999999999997E-4</v>
      </c>
      <c r="M248" s="4">
        <v>0.59399999999999997</v>
      </c>
      <c r="N248" s="4">
        <v>3.5</v>
      </c>
      <c r="O248" s="7" t="s">
        <v>1168</v>
      </c>
      <c r="P248">
        <f>SUM(A248:O248)</f>
        <v>256.46460999999999</v>
      </c>
    </row>
    <row r="249" spans="1:16" ht="31.2" hidden="1">
      <c r="A249" s="4">
        <v>247</v>
      </c>
      <c r="B249" s="5" t="s">
        <v>1169</v>
      </c>
      <c r="C249" s="5" t="s">
        <v>1170</v>
      </c>
      <c r="D249" s="10" t="s">
        <v>1066</v>
      </c>
      <c r="E249" s="4" t="s">
        <v>1171</v>
      </c>
      <c r="F249" s="4" t="s">
        <v>1172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7" t="s">
        <v>1173</v>
      </c>
      <c r="P249">
        <f>SUM(A249:O249)</f>
        <v>247</v>
      </c>
    </row>
    <row r="250" spans="1:16" ht="15.6" hidden="1">
      <c r="A250" s="11"/>
      <c r="B250" s="11"/>
      <c r="C250" s="11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1"/>
    </row>
    <row r="251" spans="1:16" ht="15.6" hidden="1">
      <c r="A251" s="11"/>
      <c r="B251" s="16" t="s">
        <v>1174</v>
      </c>
      <c r="C251" s="15"/>
      <c r="D251" s="15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1"/>
    </row>
    <row r="252" spans="1:16" ht="15.6" hidden="1">
      <c r="A252" s="11"/>
      <c r="B252" s="16" t="s">
        <v>1175</v>
      </c>
      <c r="C252" s="15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1"/>
    </row>
    <row r="253" spans="1:16" ht="15.6" hidden="1">
      <c r="A253" s="11"/>
      <c r="B253" s="16" t="s">
        <v>1176</v>
      </c>
      <c r="C253" s="15"/>
      <c r="D253" s="15"/>
      <c r="E253" s="15"/>
      <c r="F253" s="12"/>
      <c r="G253" s="12"/>
      <c r="H253" s="12"/>
      <c r="I253" s="12"/>
      <c r="J253" s="12"/>
      <c r="K253" s="12"/>
      <c r="L253" s="12"/>
      <c r="M253" s="12"/>
      <c r="N253" s="12"/>
      <c r="O253" s="11"/>
    </row>
    <row r="254" spans="1:16" ht="15.6" hidden="1">
      <c r="A254" s="11"/>
      <c r="B254" s="16" t="s">
        <v>1177</v>
      </c>
      <c r="C254" s="15"/>
      <c r="D254" s="15"/>
      <c r="E254" s="15"/>
      <c r="F254" s="15"/>
      <c r="G254" s="15"/>
      <c r="H254" s="15"/>
      <c r="I254" s="15"/>
      <c r="J254" s="12"/>
      <c r="K254" s="12"/>
      <c r="L254" s="12"/>
      <c r="M254" s="12"/>
      <c r="N254" s="12"/>
      <c r="O254" s="11"/>
    </row>
    <row r="255" spans="1:16" ht="15.6" hidden="1">
      <c r="A255" s="11"/>
      <c r="B255" s="16" t="s">
        <v>1178</v>
      </c>
      <c r="C255" s="15"/>
      <c r="D255" s="15"/>
      <c r="E255" s="15"/>
      <c r="F255" s="15"/>
      <c r="G255" s="12"/>
      <c r="H255" s="12"/>
      <c r="I255" s="12"/>
      <c r="J255" s="12"/>
      <c r="K255" s="12"/>
      <c r="L255" s="12"/>
      <c r="M255" s="12"/>
      <c r="N255" s="12"/>
      <c r="O255" s="11"/>
    </row>
    <row r="256" spans="1:16" ht="15.6" hidden="1">
      <c r="A256" s="11"/>
      <c r="B256" s="16" t="s">
        <v>1179</v>
      </c>
      <c r="C256" s="15"/>
      <c r="D256" s="15"/>
      <c r="E256" s="15"/>
      <c r="F256" s="12"/>
      <c r="G256" s="12"/>
      <c r="H256" s="12"/>
      <c r="I256" s="12"/>
      <c r="J256" s="12"/>
      <c r="K256" s="12"/>
      <c r="L256" s="12"/>
      <c r="M256" s="12"/>
      <c r="N256" s="12"/>
      <c r="O256" s="11"/>
    </row>
    <row r="257" spans="1:15" ht="15.6" hidden="1">
      <c r="A257" s="11"/>
      <c r="B257" s="16" t="s">
        <v>1180</v>
      </c>
      <c r="C257" s="15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1"/>
    </row>
    <row r="258" spans="1:15" ht="15.6" hidden="1">
      <c r="A258" s="11"/>
      <c r="B258" s="11"/>
      <c r="C258" s="11"/>
      <c r="D258" s="11"/>
      <c r="E258" s="12"/>
      <c r="F258" s="12"/>
      <c r="G258" s="11"/>
      <c r="H258" s="11"/>
      <c r="I258" s="11"/>
      <c r="J258" s="11"/>
      <c r="K258" s="11"/>
      <c r="L258" s="11"/>
      <c r="M258" s="11"/>
      <c r="N258" s="11"/>
      <c r="O258" s="11"/>
    </row>
    <row r="259" spans="1:15" ht="15.6" hidden="1">
      <c r="A259" s="11"/>
      <c r="B259" s="11"/>
      <c r="C259" s="11"/>
      <c r="D259" s="11"/>
      <c r="E259" s="12"/>
      <c r="F259" s="12"/>
      <c r="G259" s="11"/>
      <c r="H259" s="11"/>
      <c r="I259" s="11"/>
      <c r="J259" s="11"/>
      <c r="K259" s="11"/>
      <c r="L259" s="11"/>
      <c r="M259" s="11"/>
      <c r="N259" s="11"/>
      <c r="O259" s="11"/>
    </row>
    <row r="260" spans="1:15" ht="15.6" hidden="1">
      <c r="A260" s="11"/>
      <c r="B260" s="11"/>
      <c r="C260" s="11"/>
      <c r="D260" s="11"/>
      <c r="E260" s="12"/>
      <c r="F260" s="12"/>
      <c r="G260" s="11"/>
      <c r="H260" s="11"/>
      <c r="I260" s="11"/>
      <c r="J260" s="11"/>
      <c r="K260" s="11"/>
      <c r="L260" s="11"/>
      <c r="M260" s="11"/>
      <c r="N260" s="11"/>
      <c r="O260" s="11"/>
    </row>
    <row r="261" spans="1:15" ht="15.6" hidden="1">
      <c r="A261" s="11"/>
      <c r="B261" s="11"/>
      <c r="C261" s="11"/>
      <c r="D261" s="11"/>
      <c r="E261" s="12"/>
      <c r="F261" s="12"/>
      <c r="G261" s="11"/>
      <c r="H261" s="11"/>
      <c r="I261" s="11"/>
      <c r="J261" s="11"/>
      <c r="K261" s="11"/>
      <c r="L261" s="11"/>
      <c r="M261" s="11"/>
      <c r="N261" s="11"/>
      <c r="O261" s="11"/>
    </row>
    <row r="262" spans="1:15" ht="15.6" hidden="1">
      <c r="A262" s="11"/>
      <c r="B262" s="11"/>
      <c r="C262" s="11"/>
      <c r="D262" s="11"/>
      <c r="E262" s="12"/>
      <c r="F262" s="12"/>
      <c r="G262" s="11"/>
      <c r="H262" s="11"/>
      <c r="I262" s="11"/>
      <c r="J262" s="11"/>
      <c r="K262" s="11"/>
      <c r="L262" s="11"/>
      <c r="M262" s="11"/>
      <c r="N262" s="11"/>
      <c r="O262" s="11"/>
    </row>
    <row r="263" spans="1:15" ht="15.6" hidden="1">
      <c r="A263" s="11"/>
      <c r="B263" s="11"/>
      <c r="C263" s="11"/>
      <c r="D263" s="11"/>
      <c r="E263" s="12"/>
      <c r="F263" s="12"/>
      <c r="G263" s="11"/>
      <c r="H263" s="11"/>
      <c r="I263" s="11"/>
      <c r="J263" s="11"/>
      <c r="K263" s="11"/>
      <c r="L263" s="11"/>
      <c r="M263" s="11"/>
      <c r="N263" s="11"/>
      <c r="O263" s="11"/>
    </row>
    <row r="264" spans="1:15" ht="15.6" hidden="1">
      <c r="A264" s="11"/>
      <c r="B264" s="11"/>
      <c r="C264" s="11"/>
      <c r="D264" s="11"/>
      <c r="E264" s="12"/>
      <c r="F264" s="12"/>
      <c r="G264" s="11"/>
      <c r="H264" s="11"/>
      <c r="I264" s="11"/>
      <c r="J264" s="11"/>
      <c r="K264" s="11"/>
      <c r="L264" s="11"/>
      <c r="M264" s="11"/>
      <c r="N264" s="11"/>
      <c r="O264" s="11"/>
    </row>
    <row r="265" spans="1:15" ht="15.6" hidden="1">
      <c r="A265" s="11"/>
      <c r="B265" s="11"/>
      <c r="C265" s="11"/>
      <c r="D265" s="11"/>
      <c r="E265" s="12"/>
      <c r="F265" s="12"/>
      <c r="G265" s="11"/>
      <c r="H265" s="11"/>
      <c r="I265" s="11"/>
      <c r="J265" s="11"/>
      <c r="K265" s="11"/>
      <c r="L265" s="11"/>
      <c r="M265" s="11"/>
      <c r="N265" s="11"/>
      <c r="O265" s="11"/>
    </row>
    <row r="266" spans="1:15" ht="15.6" hidden="1">
      <c r="A266" s="11"/>
      <c r="B266" s="11"/>
      <c r="C266" s="11"/>
      <c r="D266" s="11"/>
      <c r="E266" s="12"/>
      <c r="F266" s="12"/>
      <c r="G266" s="11"/>
      <c r="H266" s="11"/>
      <c r="I266" s="11"/>
      <c r="J266" s="11"/>
      <c r="K266" s="11"/>
      <c r="L266" s="11"/>
      <c r="M266" s="11"/>
      <c r="N266" s="11"/>
      <c r="O266" s="11"/>
    </row>
    <row r="267" spans="1:15" ht="15.6" hidden="1">
      <c r="A267" s="11"/>
      <c r="B267" s="11"/>
      <c r="C267" s="11"/>
      <c r="D267" s="11"/>
      <c r="E267" s="12"/>
      <c r="F267" s="12"/>
      <c r="G267" s="11"/>
      <c r="H267" s="11"/>
      <c r="I267" s="11"/>
      <c r="J267" s="11"/>
      <c r="K267" s="11"/>
      <c r="L267" s="11"/>
      <c r="M267" s="11"/>
      <c r="N267" s="11"/>
      <c r="O267" s="11"/>
    </row>
    <row r="268" spans="1:15" ht="15.6" hidden="1">
      <c r="A268" s="11"/>
      <c r="B268" s="11"/>
      <c r="C268" s="11"/>
      <c r="D268" s="11"/>
      <c r="E268" s="12"/>
      <c r="F268" s="12"/>
      <c r="G268" s="11"/>
      <c r="H268" s="11"/>
      <c r="I268" s="11"/>
      <c r="J268" s="11"/>
      <c r="K268" s="11"/>
      <c r="L268" s="11"/>
      <c r="M268" s="11"/>
      <c r="N268" s="11"/>
      <c r="O268" s="11"/>
    </row>
    <row r="269" spans="1:15" ht="15.6" hidden="1">
      <c r="A269" s="11"/>
      <c r="B269" s="11"/>
      <c r="C269" s="11"/>
      <c r="D269" s="11"/>
      <c r="E269" s="12"/>
      <c r="F269" s="12"/>
      <c r="G269" s="11"/>
      <c r="H269" s="11"/>
      <c r="I269" s="11"/>
      <c r="J269" s="11"/>
      <c r="K269" s="11"/>
      <c r="L269" s="11"/>
      <c r="M269" s="11"/>
      <c r="N269" s="11"/>
      <c r="O269" s="11"/>
    </row>
    <row r="270" spans="1:15" ht="15.6" hidden="1">
      <c r="A270" s="11"/>
      <c r="B270" s="11"/>
      <c r="C270" s="11"/>
      <c r="D270" s="11"/>
      <c r="E270" s="12"/>
      <c r="F270" s="12"/>
      <c r="G270" s="11"/>
      <c r="H270" s="11"/>
      <c r="I270" s="11"/>
      <c r="J270" s="11"/>
      <c r="K270" s="11"/>
      <c r="L270" s="11"/>
      <c r="M270" s="11"/>
      <c r="N270" s="11"/>
      <c r="O270" s="11"/>
    </row>
    <row r="271" spans="1:15" ht="15.6" hidden="1">
      <c r="A271" s="11"/>
      <c r="B271" s="11"/>
      <c r="C271" s="11"/>
      <c r="D271" s="11"/>
      <c r="E271" s="12"/>
      <c r="F271" s="12"/>
      <c r="G271" s="11"/>
      <c r="H271" s="11"/>
      <c r="I271" s="11"/>
      <c r="J271" s="11"/>
      <c r="K271" s="11"/>
      <c r="L271" s="11"/>
      <c r="M271" s="11"/>
      <c r="N271" s="11"/>
      <c r="O271" s="11"/>
    </row>
    <row r="272" spans="1:15" ht="15.6" hidden="1">
      <c r="A272" s="11"/>
      <c r="B272" s="11"/>
      <c r="C272" s="11"/>
      <c r="D272" s="11"/>
      <c r="E272" s="12"/>
      <c r="F272" s="12"/>
      <c r="G272" s="11"/>
      <c r="H272" s="11"/>
      <c r="I272" s="11"/>
      <c r="J272" s="11"/>
      <c r="K272" s="11"/>
      <c r="L272" s="11"/>
      <c r="M272" s="11"/>
      <c r="N272" s="11"/>
      <c r="O272" s="11"/>
    </row>
    <row r="273" spans="1:15" ht="15.6" hidden="1">
      <c r="A273" s="11"/>
      <c r="B273" s="11"/>
      <c r="C273" s="11"/>
      <c r="D273" s="11"/>
      <c r="E273" s="12"/>
      <c r="F273" s="12"/>
      <c r="G273" s="11"/>
      <c r="H273" s="11"/>
      <c r="I273" s="11"/>
      <c r="J273" s="11"/>
      <c r="K273" s="11"/>
      <c r="L273" s="11"/>
      <c r="M273" s="11"/>
      <c r="N273" s="11"/>
      <c r="O273" s="11"/>
    </row>
    <row r="274" spans="1:15" ht="15.6" hidden="1">
      <c r="A274" s="11"/>
      <c r="B274" s="11"/>
      <c r="C274" s="11"/>
      <c r="D274" s="11"/>
      <c r="E274" s="12"/>
      <c r="F274" s="12"/>
      <c r="G274" s="11"/>
      <c r="H274" s="11"/>
      <c r="I274" s="11"/>
      <c r="J274" s="11"/>
      <c r="K274" s="11"/>
      <c r="L274" s="11"/>
      <c r="M274" s="11"/>
      <c r="N274" s="11"/>
      <c r="O274" s="11"/>
    </row>
    <row r="275" spans="1:15" ht="15.6" hidden="1">
      <c r="A275" s="11"/>
      <c r="B275" s="11"/>
      <c r="C275" s="11"/>
      <c r="D275" s="11"/>
      <c r="E275" s="12"/>
      <c r="F275" s="12"/>
      <c r="G275" s="11"/>
      <c r="H275" s="11"/>
      <c r="I275" s="11"/>
      <c r="J275" s="11"/>
      <c r="K275" s="11"/>
      <c r="L275" s="11"/>
      <c r="M275" s="11"/>
      <c r="N275" s="11"/>
      <c r="O275" s="11"/>
    </row>
    <row r="276" spans="1:15" ht="15.6" hidden="1">
      <c r="A276" s="11"/>
      <c r="B276" s="11"/>
      <c r="C276" s="11"/>
      <c r="D276" s="11"/>
      <c r="E276" s="12"/>
      <c r="F276" s="12"/>
      <c r="G276" s="11"/>
      <c r="H276" s="11"/>
      <c r="I276" s="11"/>
      <c r="J276" s="11"/>
      <c r="K276" s="11"/>
      <c r="L276" s="11"/>
      <c r="M276" s="11"/>
      <c r="N276" s="11"/>
      <c r="O276" s="11"/>
    </row>
    <row r="277" spans="1:15" ht="15.6" hidden="1">
      <c r="A277" s="11"/>
      <c r="B277" s="11"/>
      <c r="C277" s="11"/>
      <c r="D277" s="11"/>
      <c r="E277" s="12"/>
      <c r="F277" s="12"/>
      <c r="G277" s="11"/>
      <c r="H277" s="11"/>
      <c r="I277" s="11"/>
      <c r="J277" s="11"/>
      <c r="K277" s="11"/>
      <c r="L277" s="11"/>
      <c r="M277" s="11"/>
      <c r="N277" s="11"/>
      <c r="O277" s="11"/>
    </row>
    <row r="278" spans="1:15" ht="15.6" hidden="1">
      <c r="A278" s="11"/>
      <c r="B278" s="11"/>
      <c r="C278" s="11"/>
      <c r="D278" s="11"/>
      <c r="E278" s="12"/>
      <c r="F278" s="12"/>
      <c r="G278" s="11"/>
      <c r="H278" s="11"/>
      <c r="I278" s="11"/>
      <c r="J278" s="11"/>
      <c r="K278" s="11"/>
      <c r="L278" s="11"/>
      <c r="M278" s="11"/>
      <c r="N278" s="11"/>
      <c r="O278" s="11"/>
    </row>
    <row r="279" spans="1:15" ht="15.6" hidden="1">
      <c r="A279" s="11"/>
      <c r="B279" s="11"/>
      <c r="C279" s="11"/>
      <c r="D279" s="11"/>
      <c r="E279" s="12"/>
      <c r="F279" s="12"/>
      <c r="G279" s="11"/>
      <c r="H279" s="11"/>
      <c r="I279" s="11"/>
      <c r="J279" s="11"/>
      <c r="K279" s="11"/>
      <c r="L279" s="11"/>
      <c r="M279" s="11"/>
      <c r="N279" s="11"/>
      <c r="O279" s="11"/>
    </row>
    <row r="280" spans="1:15" ht="15.6" hidden="1">
      <c r="A280" s="11"/>
      <c r="B280" s="11"/>
      <c r="C280" s="11"/>
      <c r="D280" s="11"/>
      <c r="E280" s="12"/>
      <c r="F280" s="12"/>
      <c r="G280" s="11"/>
      <c r="H280" s="11"/>
      <c r="I280" s="11"/>
      <c r="J280" s="11"/>
      <c r="K280" s="11"/>
      <c r="L280" s="11"/>
      <c r="M280" s="11"/>
      <c r="N280" s="11"/>
      <c r="O280" s="11"/>
    </row>
    <row r="281" spans="1:15" ht="15.6" hidden="1">
      <c r="A281" s="11"/>
      <c r="B281" s="11"/>
      <c r="C281" s="11"/>
      <c r="D281" s="11"/>
      <c r="E281" s="12"/>
      <c r="F281" s="12"/>
      <c r="G281" s="11"/>
      <c r="H281" s="11"/>
      <c r="I281" s="11"/>
      <c r="J281" s="11"/>
      <c r="K281" s="11"/>
      <c r="L281" s="11"/>
      <c r="M281" s="11"/>
      <c r="N281" s="11"/>
      <c r="O281" s="11"/>
    </row>
    <row r="282" spans="1:15" ht="15.6" hidden="1">
      <c r="A282" s="11"/>
      <c r="B282" s="11"/>
      <c r="C282" s="11"/>
      <c r="D282" s="11"/>
      <c r="E282" s="12"/>
      <c r="F282" s="12"/>
      <c r="G282" s="11"/>
      <c r="H282" s="11"/>
      <c r="I282" s="11"/>
      <c r="J282" s="11"/>
      <c r="K282" s="11"/>
      <c r="L282" s="11"/>
      <c r="M282" s="11"/>
      <c r="N282" s="11"/>
      <c r="O282" s="11"/>
    </row>
    <row r="283" spans="1:15" ht="15.6" hidden="1">
      <c r="A283" s="11"/>
      <c r="B283" s="11"/>
      <c r="C283" s="11"/>
      <c r="D283" s="11"/>
      <c r="E283" s="12"/>
      <c r="F283" s="12"/>
      <c r="G283" s="11"/>
      <c r="H283" s="11"/>
      <c r="I283" s="11"/>
      <c r="J283" s="11"/>
      <c r="K283" s="11"/>
      <c r="L283" s="11"/>
      <c r="M283" s="11"/>
      <c r="N283" s="11"/>
      <c r="O283" s="11"/>
    </row>
    <row r="284" spans="1:15" ht="15.6" hidden="1">
      <c r="A284" s="11"/>
      <c r="B284" s="11"/>
      <c r="C284" s="11"/>
      <c r="D284" s="11"/>
      <c r="E284" s="12"/>
      <c r="F284" s="12"/>
      <c r="G284" s="11"/>
      <c r="H284" s="11"/>
      <c r="I284" s="11"/>
      <c r="J284" s="11"/>
      <c r="K284" s="11"/>
      <c r="L284" s="11"/>
      <c r="M284" s="11"/>
      <c r="N284" s="11"/>
      <c r="O284" s="11"/>
    </row>
    <row r="285" spans="1:15" ht="15.6" hidden="1">
      <c r="A285" s="11"/>
      <c r="B285" s="11"/>
      <c r="C285" s="11"/>
      <c r="D285" s="11"/>
      <c r="E285" s="12"/>
      <c r="F285" s="12"/>
      <c r="G285" s="11"/>
      <c r="H285" s="11"/>
      <c r="I285" s="11"/>
      <c r="J285" s="11"/>
      <c r="K285" s="11"/>
      <c r="L285" s="11"/>
      <c r="M285" s="11"/>
      <c r="N285" s="11"/>
      <c r="O285" s="11"/>
    </row>
    <row r="286" spans="1:15" ht="15.6" hidden="1">
      <c r="A286" s="11"/>
      <c r="B286" s="11"/>
      <c r="C286" s="11"/>
      <c r="D286" s="11"/>
      <c r="E286" s="12"/>
      <c r="F286" s="12"/>
      <c r="G286" s="11"/>
      <c r="H286" s="11"/>
      <c r="I286" s="11"/>
      <c r="J286" s="11"/>
      <c r="K286" s="11"/>
      <c r="L286" s="11"/>
      <c r="M286" s="11"/>
      <c r="N286" s="11"/>
      <c r="O286" s="11"/>
    </row>
    <row r="287" spans="1:15" ht="15.6" hidden="1">
      <c r="A287" s="11"/>
      <c r="B287" s="11"/>
      <c r="C287" s="11"/>
      <c r="D287" s="11"/>
      <c r="E287" s="12"/>
      <c r="F287" s="12"/>
      <c r="G287" s="11"/>
      <c r="H287" s="11"/>
      <c r="I287" s="11"/>
      <c r="J287" s="11"/>
      <c r="K287" s="11"/>
      <c r="L287" s="11"/>
      <c r="M287" s="11"/>
      <c r="N287" s="11"/>
      <c r="O287" s="11"/>
    </row>
    <row r="288" spans="1:15" ht="15.6" hidden="1">
      <c r="A288" s="11"/>
      <c r="B288" s="11"/>
      <c r="C288" s="11"/>
      <c r="D288" s="11"/>
      <c r="E288" s="12"/>
      <c r="F288" s="12"/>
      <c r="G288" s="11"/>
      <c r="H288" s="11"/>
      <c r="I288" s="11"/>
      <c r="J288" s="11"/>
      <c r="K288" s="11"/>
      <c r="L288" s="11"/>
      <c r="M288" s="11"/>
      <c r="N288" s="11"/>
      <c r="O288" s="11"/>
    </row>
    <row r="289" spans="1:15" ht="15.6" hidden="1">
      <c r="A289" s="11"/>
      <c r="B289" s="11"/>
      <c r="C289" s="11"/>
      <c r="D289" s="11"/>
      <c r="E289" s="12"/>
      <c r="F289" s="12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1:15" ht="15.6" hidden="1">
      <c r="A290" s="11"/>
      <c r="B290" s="11"/>
      <c r="C290" s="11"/>
      <c r="D290" s="11"/>
      <c r="E290" s="12"/>
      <c r="F290" s="12"/>
      <c r="G290" s="11"/>
      <c r="H290" s="11"/>
      <c r="I290" s="11"/>
      <c r="J290" s="11"/>
      <c r="K290" s="11"/>
      <c r="L290" s="11"/>
      <c r="M290" s="11"/>
      <c r="N290" s="11"/>
      <c r="O290" s="11"/>
    </row>
    <row r="291" spans="1:15" ht="15.6" hidden="1">
      <c r="A291" s="11"/>
      <c r="B291" s="11"/>
      <c r="C291" s="11"/>
      <c r="D291" s="11"/>
      <c r="E291" s="12"/>
      <c r="F291" s="12"/>
      <c r="G291" s="11"/>
      <c r="H291" s="11"/>
      <c r="I291" s="11"/>
      <c r="J291" s="11"/>
      <c r="K291" s="11"/>
      <c r="L291" s="11"/>
      <c r="M291" s="11"/>
      <c r="N291" s="11"/>
      <c r="O291" s="11"/>
    </row>
    <row r="292" spans="1:15" ht="15.6" hidden="1">
      <c r="A292" s="11"/>
      <c r="B292" s="11"/>
      <c r="C292" s="11"/>
      <c r="D292" s="11"/>
      <c r="E292" s="12"/>
      <c r="F292" s="12"/>
      <c r="G292" s="11"/>
      <c r="H292" s="11"/>
      <c r="I292" s="11"/>
      <c r="J292" s="11"/>
      <c r="K292" s="11"/>
      <c r="L292" s="11"/>
      <c r="M292" s="11"/>
      <c r="N292" s="11"/>
      <c r="O292" s="11"/>
    </row>
    <row r="293" spans="1:15" ht="15.6" hidden="1">
      <c r="A293" s="11"/>
      <c r="B293" s="11"/>
      <c r="C293" s="11"/>
      <c r="D293" s="11"/>
      <c r="E293" s="12"/>
      <c r="F293" s="12"/>
      <c r="G293" s="11"/>
      <c r="H293" s="11"/>
      <c r="I293" s="11"/>
      <c r="J293" s="11"/>
      <c r="K293" s="11"/>
      <c r="L293" s="11"/>
      <c r="M293" s="11"/>
      <c r="N293" s="11"/>
      <c r="O293" s="11"/>
    </row>
    <row r="294" spans="1:15" ht="15.6" hidden="1">
      <c r="A294" s="11"/>
      <c r="B294" s="11"/>
      <c r="C294" s="11"/>
      <c r="D294" s="11"/>
      <c r="E294" s="12"/>
      <c r="F294" s="12"/>
      <c r="G294" s="11"/>
      <c r="H294" s="11"/>
      <c r="I294" s="11"/>
      <c r="J294" s="11"/>
      <c r="K294" s="11"/>
      <c r="L294" s="11"/>
      <c r="M294" s="11"/>
      <c r="N294" s="11"/>
      <c r="O294" s="11"/>
    </row>
    <row r="295" spans="1:15" ht="15.6" hidden="1">
      <c r="A295" s="11"/>
      <c r="B295" s="11"/>
      <c r="C295" s="11"/>
      <c r="D295" s="11"/>
      <c r="E295" s="12"/>
      <c r="F295" s="12"/>
      <c r="G295" s="11"/>
      <c r="H295" s="11"/>
      <c r="I295" s="11"/>
      <c r="J295" s="11"/>
      <c r="K295" s="11"/>
      <c r="L295" s="11"/>
      <c r="M295" s="11"/>
      <c r="N295" s="11"/>
      <c r="O295" s="11"/>
    </row>
    <row r="296" spans="1:15" ht="15.6" hidden="1">
      <c r="A296" s="11"/>
      <c r="B296" s="11"/>
      <c r="C296" s="11"/>
      <c r="D296" s="11"/>
      <c r="E296" s="12"/>
      <c r="F296" s="12"/>
      <c r="G296" s="11"/>
      <c r="H296" s="11"/>
      <c r="I296" s="11"/>
      <c r="J296" s="11"/>
      <c r="K296" s="11"/>
      <c r="L296" s="11"/>
      <c r="M296" s="11"/>
      <c r="N296" s="11"/>
      <c r="O296" s="11"/>
    </row>
    <row r="297" spans="1:15" ht="15.6" hidden="1">
      <c r="A297" s="11"/>
      <c r="B297" s="11"/>
      <c r="C297" s="11"/>
      <c r="D297" s="11"/>
      <c r="E297" s="12"/>
      <c r="F297" s="12"/>
      <c r="G297" s="11"/>
      <c r="H297" s="11"/>
      <c r="I297" s="11"/>
      <c r="J297" s="11"/>
      <c r="K297" s="11"/>
      <c r="L297" s="11"/>
      <c r="M297" s="11"/>
      <c r="N297" s="11"/>
      <c r="O297" s="11"/>
    </row>
    <row r="298" spans="1:15" ht="15.6" hidden="1">
      <c r="A298" s="11"/>
      <c r="B298" s="11"/>
      <c r="C298" s="11"/>
      <c r="D298" s="11"/>
      <c r="E298" s="12"/>
      <c r="F298" s="12"/>
      <c r="G298" s="11"/>
      <c r="H298" s="11"/>
      <c r="I298" s="11"/>
      <c r="J298" s="11"/>
      <c r="K298" s="11"/>
      <c r="L298" s="11"/>
      <c r="M298" s="11"/>
      <c r="N298" s="11"/>
      <c r="O298" s="11"/>
    </row>
    <row r="299" spans="1:15" ht="15.6" hidden="1">
      <c r="A299" s="11"/>
      <c r="B299" s="11"/>
      <c r="C299" s="11"/>
      <c r="D299" s="11"/>
      <c r="E299" s="12"/>
      <c r="F299" s="12"/>
      <c r="G299" s="11"/>
      <c r="H299" s="11"/>
      <c r="I299" s="11"/>
      <c r="J299" s="11"/>
      <c r="K299" s="11"/>
      <c r="L299" s="11"/>
      <c r="M299" s="11"/>
      <c r="N299" s="11"/>
      <c r="O299" s="11"/>
    </row>
    <row r="300" spans="1:15" ht="15.6" hidden="1">
      <c r="A300" s="11"/>
      <c r="B300" s="11"/>
      <c r="C300" s="11"/>
      <c r="D300" s="11"/>
      <c r="E300" s="12"/>
      <c r="F300" s="12"/>
      <c r="G300" s="11"/>
      <c r="H300" s="11"/>
      <c r="I300" s="11"/>
      <c r="J300" s="11"/>
      <c r="K300" s="11"/>
      <c r="L300" s="11"/>
      <c r="M300" s="11"/>
      <c r="N300" s="11"/>
      <c r="O300" s="11"/>
    </row>
    <row r="301" spans="1:15" ht="15.6" hidden="1">
      <c r="A301" s="11"/>
      <c r="B301" s="11"/>
      <c r="C301" s="11"/>
      <c r="D301" s="11"/>
      <c r="E301" s="12"/>
      <c r="F301" s="12"/>
      <c r="G301" s="11"/>
      <c r="H301" s="11"/>
      <c r="I301" s="11"/>
      <c r="J301" s="11"/>
      <c r="K301" s="11"/>
      <c r="L301" s="11"/>
      <c r="M301" s="11"/>
      <c r="N301" s="11"/>
      <c r="O301" s="11"/>
    </row>
    <row r="302" spans="1:15" ht="15.6" hidden="1">
      <c r="A302" s="11"/>
      <c r="B302" s="11"/>
      <c r="C302" s="11"/>
      <c r="D302" s="11"/>
      <c r="E302" s="12"/>
      <c r="F302" s="12"/>
      <c r="G302" s="11"/>
      <c r="H302" s="11"/>
      <c r="I302" s="11"/>
      <c r="J302" s="11"/>
      <c r="K302" s="11"/>
      <c r="L302" s="11"/>
      <c r="M302" s="11"/>
      <c r="N302" s="11"/>
      <c r="O302" s="11"/>
    </row>
    <row r="303" spans="1:15" ht="15.6" hidden="1">
      <c r="A303" s="11"/>
      <c r="B303" s="11"/>
      <c r="C303" s="11"/>
      <c r="D303" s="11"/>
      <c r="E303" s="12"/>
      <c r="F303" s="12"/>
      <c r="G303" s="11"/>
      <c r="H303" s="11"/>
      <c r="I303" s="11"/>
      <c r="J303" s="11"/>
      <c r="K303" s="11"/>
      <c r="L303" s="11"/>
      <c r="M303" s="11"/>
      <c r="N303" s="11"/>
      <c r="O303" s="11"/>
    </row>
    <row r="304" spans="1:15" ht="15.6" hidden="1">
      <c r="A304" s="11"/>
      <c r="B304" s="11"/>
      <c r="C304" s="11"/>
      <c r="D304" s="11"/>
      <c r="E304" s="12"/>
      <c r="F304" s="12"/>
      <c r="G304" s="11"/>
      <c r="H304" s="11"/>
      <c r="I304" s="11"/>
      <c r="J304" s="11"/>
      <c r="K304" s="11"/>
      <c r="L304" s="11"/>
      <c r="M304" s="11"/>
      <c r="N304" s="11"/>
      <c r="O304" s="11"/>
    </row>
    <row r="305" spans="1:15" ht="15.6" hidden="1">
      <c r="A305" s="11"/>
      <c r="B305" s="11"/>
      <c r="C305" s="11"/>
      <c r="D305" s="11"/>
      <c r="E305" s="12"/>
      <c r="F305" s="12"/>
      <c r="G305" s="11"/>
      <c r="H305" s="11"/>
      <c r="I305" s="11"/>
      <c r="J305" s="11"/>
      <c r="K305" s="11"/>
      <c r="L305" s="11"/>
      <c r="M305" s="11"/>
      <c r="N305" s="11"/>
      <c r="O305" s="11"/>
    </row>
    <row r="306" spans="1:15" ht="15.6" hidden="1">
      <c r="A306" s="11"/>
      <c r="B306" s="11"/>
      <c r="C306" s="11"/>
      <c r="D306" s="11"/>
      <c r="E306" s="12"/>
      <c r="F306" s="12"/>
      <c r="G306" s="11"/>
      <c r="H306" s="11"/>
      <c r="I306" s="11"/>
      <c r="J306" s="11"/>
      <c r="K306" s="11"/>
      <c r="L306" s="11"/>
      <c r="M306" s="11"/>
      <c r="N306" s="11"/>
      <c r="O306" s="11"/>
    </row>
    <row r="307" spans="1:15" ht="15.6" hidden="1">
      <c r="A307" s="11"/>
      <c r="B307" s="11"/>
      <c r="C307" s="11"/>
      <c r="D307" s="11"/>
      <c r="E307" s="12"/>
      <c r="F307" s="12"/>
      <c r="G307" s="11"/>
      <c r="H307" s="11"/>
      <c r="I307" s="11"/>
      <c r="J307" s="11"/>
      <c r="K307" s="11"/>
      <c r="L307" s="11"/>
      <c r="M307" s="11"/>
      <c r="N307" s="11"/>
      <c r="O307" s="11"/>
    </row>
    <row r="308" spans="1:15" ht="15.6" hidden="1">
      <c r="A308" s="11"/>
      <c r="B308" s="11"/>
      <c r="C308" s="11"/>
      <c r="D308" s="11"/>
      <c r="E308" s="12"/>
      <c r="F308" s="12"/>
      <c r="G308" s="11"/>
      <c r="H308" s="11"/>
      <c r="I308" s="11"/>
      <c r="J308" s="11"/>
      <c r="K308" s="11"/>
      <c r="L308" s="11"/>
      <c r="M308" s="11"/>
      <c r="N308" s="11"/>
      <c r="O308" s="11"/>
    </row>
    <row r="309" spans="1:15" ht="15.6" hidden="1">
      <c r="A309" s="11"/>
      <c r="B309" s="11"/>
      <c r="C309" s="11"/>
      <c r="D309" s="11"/>
      <c r="E309" s="12"/>
      <c r="F309" s="12"/>
      <c r="G309" s="11"/>
      <c r="H309" s="11"/>
      <c r="I309" s="11"/>
      <c r="J309" s="11"/>
      <c r="K309" s="11"/>
      <c r="L309" s="11"/>
      <c r="M309" s="11"/>
      <c r="N309" s="11"/>
      <c r="O309" s="11"/>
    </row>
    <row r="310" spans="1:15" ht="15.6" hidden="1">
      <c r="A310" s="11"/>
      <c r="B310" s="11"/>
      <c r="C310" s="11"/>
      <c r="D310" s="11"/>
      <c r="E310" s="12"/>
      <c r="F310" s="12"/>
      <c r="G310" s="11"/>
      <c r="H310" s="11"/>
      <c r="I310" s="11"/>
      <c r="J310" s="11"/>
      <c r="K310" s="11"/>
      <c r="L310" s="11"/>
      <c r="M310" s="11"/>
      <c r="N310" s="11"/>
      <c r="O310" s="11"/>
    </row>
    <row r="311" spans="1:15" ht="15.6" hidden="1">
      <c r="A311" s="11"/>
      <c r="B311" s="11"/>
      <c r="C311" s="11"/>
      <c r="D311" s="11"/>
      <c r="E311" s="12"/>
      <c r="F311" s="12"/>
      <c r="G311" s="11"/>
      <c r="H311" s="11"/>
      <c r="I311" s="11"/>
      <c r="J311" s="11"/>
      <c r="K311" s="11"/>
      <c r="L311" s="11"/>
      <c r="M311" s="11"/>
      <c r="N311" s="11"/>
      <c r="O311" s="11"/>
    </row>
    <row r="312" spans="1:15" ht="15.6" hidden="1">
      <c r="A312" s="11"/>
      <c r="B312" s="11"/>
      <c r="C312" s="11"/>
      <c r="D312" s="11"/>
      <c r="E312" s="12"/>
      <c r="F312" s="12"/>
      <c r="G312" s="11"/>
      <c r="H312" s="11"/>
      <c r="I312" s="11"/>
      <c r="J312" s="11"/>
      <c r="K312" s="11"/>
      <c r="L312" s="11"/>
      <c r="M312" s="11"/>
      <c r="N312" s="11"/>
      <c r="O312" s="11"/>
    </row>
    <row r="313" spans="1:15" ht="15.6" hidden="1">
      <c r="A313" s="11"/>
      <c r="B313" s="11"/>
      <c r="C313" s="11"/>
      <c r="D313" s="11"/>
      <c r="E313" s="12"/>
      <c r="F313" s="12"/>
      <c r="G313" s="11"/>
      <c r="H313" s="11"/>
      <c r="I313" s="11"/>
      <c r="J313" s="11"/>
      <c r="K313" s="11"/>
      <c r="L313" s="11"/>
      <c r="M313" s="11"/>
      <c r="N313" s="11"/>
      <c r="O313" s="11"/>
    </row>
    <row r="314" spans="1:15" ht="15.6" hidden="1">
      <c r="A314" s="11"/>
      <c r="B314" s="11"/>
      <c r="C314" s="11"/>
      <c r="D314" s="11"/>
      <c r="E314" s="12"/>
      <c r="F314" s="12"/>
      <c r="G314" s="11"/>
      <c r="H314" s="11"/>
      <c r="I314" s="11"/>
      <c r="J314" s="11"/>
      <c r="K314" s="11"/>
      <c r="L314" s="11"/>
      <c r="M314" s="11"/>
      <c r="N314" s="11"/>
      <c r="O314" s="11"/>
    </row>
    <row r="315" spans="1:15" ht="15.6" hidden="1">
      <c r="A315" s="11"/>
      <c r="B315" s="11"/>
      <c r="C315" s="11"/>
      <c r="D315" s="11"/>
      <c r="E315" s="12"/>
      <c r="F315" s="12"/>
      <c r="G315" s="11"/>
      <c r="H315" s="11"/>
      <c r="I315" s="11"/>
      <c r="J315" s="11"/>
      <c r="K315" s="11"/>
      <c r="L315" s="11"/>
      <c r="M315" s="11"/>
      <c r="N315" s="11"/>
      <c r="O315" s="11"/>
    </row>
    <row r="316" spans="1:15" ht="15.6" hidden="1">
      <c r="A316" s="11"/>
      <c r="B316" s="11"/>
      <c r="C316" s="11"/>
      <c r="D316" s="11"/>
      <c r="E316" s="12"/>
      <c r="F316" s="12"/>
      <c r="G316" s="11"/>
      <c r="H316" s="11"/>
      <c r="I316" s="11"/>
      <c r="J316" s="11"/>
      <c r="K316" s="11"/>
      <c r="L316" s="11"/>
      <c r="M316" s="11"/>
      <c r="N316" s="11"/>
      <c r="O316" s="11"/>
    </row>
    <row r="317" spans="1:15" ht="15.6" hidden="1">
      <c r="A317" s="11"/>
      <c r="B317" s="11"/>
      <c r="C317" s="11"/>
      <c r="D317" s="11"/>
      <c r="E317" s="12"/>
      <c r="F317" s="12"/>
      <c r="G317" s="11"/>
      <c r="H317" s="11"/>
      <c r="I317" s="11"/>
      <c r="J317" s="11"/>
      <c r="K317" s="11"/>
      <c r="L317" s="11"/>
      <c r="M317" s="11"/>
      <c r="N317" s="11"/>
      <c r="O317" s="11"/>
    </row>
    <row r="318" spans="1:15" ht="15.6" hidden="1">
      <c r="A318" s="11"/>
      <c r="B318" s="11"/>
      <c r="C318" s="11"/>
      <c r="D318" s="11"/>
      <c r="E318" s="12"/>
      <c r="F318" s="12"/>
      <c r="G318" s="11"/>
      <c r="H318" s="11"/>
      <c r="I318" s="11"/>
      <c r="J318" s="11"/>
      <c r="K318" s="11"/>
      <c r="L318" s="11"/>
      <c r="M318" s="11"/>
      <c r="N318" s="11"/>
      <c r="O318" s="11"/>
    </row>
    <row r="319" spans="1:15" ht="15.6" hidden="1">
      <c r="A319" s="11"/>
      <c r="B319" s="11"/>
      <c r="C319" s="11"/>
      <c r="D319" s="11"/>
      <c r="E319" s="12"/>
      <c r="F319" s="12"/>
      <c r="G319" s="11"/>
      <c r="H319" s="11"/>
      <c r="I319" s="11"/>
      <c r="J319" s="11"/>
      <c r="K319" s="11"/>
      <c r="L319" s="11"/>
      <c r="M319" s="11"/>
      <c r="N319" s="11"/>
      <c r="O319" s="11"/>
    </row>
    <row r="320" spans="1:15" ht="15.6" hidden="1">
      <c r="A320" s="11"/>
      <c r="B320" s="11"/>
      <c r="C320" s="11"/>
      <c r="D320" s="11"/>
      <c r="E320" s="12"/>
      <c r="F320" s="12"/>
      <c r="G320" s="11"/>
      <c r="H320" s="11"/>
      <c r="I320" s="11"/>
      <c r="J320" s="11"/>
      <c r="K320" s="11"/>
      <c r="L320" s="11"/>
      <c r="M320" s="11"/>
      <c r="N320" s="11"/>
      <c r="O320" s="11"/>
    </row>
    <row r="321" spans="1:15" ht="15.6" hidden="1">
      <c r="A321" s="11"/>
      <c r="B321" s="11"/>
      <c r="C321" s="11"/>
      <c r="D321" s="11"/>
      <c r="E321" s="12"/>
      <c r="F321" s="12"/>
      <c r="G321" s="11"/>
      <c r="H321" s="11"/>
      <c r="I321" s="11"/>
      <c r="J321" s="11"/>
      <c r="K321" s="11"/>
      <c r="L321" s="11"/>
      <c r="M321" s="11"/>
      <c r="N321" s="11"/>
      <c r="O321" s="11"/>
    </row>
    <row r="322" spans="1:15" ht="15.6" hidden="1">
      <c r="A322" s="11"/>
      <c r="B322" s="11"/>
      <c r="C322" s="11"/>
      <c r="D322" s="11"/>
      <c r="E322" s="12"/>
      <c r="F322" s="12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1:15" ht="15.6" hidden="1">
      <c r="A323" s="11"/>
      <c r="B323" s="11"/>
      <c r="C323" s="11"/>
      <c r="D323" s="11"/>
      <c r="E323" s="12"/>
      <c r="F323" s="12"/>
      <c r="G323" s="11"/>
      <c r="H323" s="11"/>
      <c r="I323" s="11"/>
      <c r="J323" s="11"/>
      <c r="K323" s="11"/>
      <c r="L323" s="11"/>
      <c r="M323" s="11"/>
      <c r="N323" s="11"/>
      <c r="O323" s="11"/>
    </row>
    <row r="324" spans="1:15" ht="15.6" hidden="1">
      <c r="A324" s="11"/>
      <c r="B324" s="11"/>
      <c r="C324" s="11"/>
      <c r="D324" s="11"/>
      <c r="E324" s="12"/>
      <c r="F324" s="12"/>
      <c r="G324" s="11"/>
      <c r="H324" s="11"/>
      <c r="I324" s="11"/>
      <c r="J324" s="11"/>
      <c r="K324" s="11"/>
      <c r="L324" s="11"/>
      <c r="M324" s="11"/>
      <c r="N324" s="11"/>
      <c r="O324" s="11"/>
    </row>
    <row r="325" spans="1:15" ht="15.6" hidden="1">
      <c r="A325" s="11"/>
      <c r="B325" s="11"/>
      <c r="C325" s="11"/>
      <c r="D325" s="11"/>
      <c r="E325" s="12"/>
      <c r="F325" s="12"/>
      <c r="G325" s="11"/>
      <c r="H325" s="11"/>
      <c r="I325" s="11"/>
      <c r="J325" s="11"/>
      <c r="K325" s="11"/>
      <c r="L325" s="11"/>
      <c r="M325" s="11"/>
      <c r="N325" s="11"/>
      <c r="O325" s="11"/>
    </row>
    <row r="326" spans="1:15" ht="15.6" hidden="1">
      <c r="A326" s="11"/>
      <c r="B326" s="11"/>
      <c r="C326" s="11"/>
      <c r="D326" s="11"/>
      <c r="E326" s="12"/>
      <c r="F326" s="12"/>
      <c r="G326" s="11"/>
      <c r="H326" s="11"/>
      <c r="I326" s="11"/>
      <c r="J326" s="11"/>
      <c r="K326" s="11"/>
      <c r="L326" s="11"/>
      <c r="M326" s="11"/>
      <c r="N326" s="11"/>
      <c r="O326" s="11"/>
    </row>
    <row r="327" spans="1:15" ht="15.6" hidden="1">
      <c r="A327" s="11"/>
      <c r="B327" s="11"/>
      <c r="C327" s="11"/>
      <c r="D327" s="11"/>
      <c r="E327" s="12"/>
      <c r="F327" s="12"/>
      <c r="G327" s="11"/>
      <c r="H327" s="11"/>
      <c r="I327" s="11"/>
      <c r="J327" s="11"/>
      <c r="K327" s="11"/>
      <c r="L327" s="11"/>
      <c r="M327" s="11"/>
      <c r="N327" s="11"/>
      <c r="O327" s="11"/>
    </row>
    <row r="328" spans="1:15" ht="15.6" hidden="1">
      <c r="A328" s="11"/>
      <c r="B328" s="11"/>
      <c r="C328" s="11"/>
      <c r="D328" s="11"/>
      <c r="E328" s="12"/>
      <c r="F328" s="12"/>
      <c r="G328" s="11"/>
      <c r="H328" s="11"/>
      <c r="I328" s="11"/>
      <c r="J328" s="11"/>
      <c r="K328" s="11"/>
      <c r="L328" s="11"/>
      <c r="M328" s="11"/>
      <c r="N328" s="11"/>
      <c r="O328" s="11"/>
    </row>
    <row r="329" spans="1:15" ht="15.6" hidden="1">
      <c r="A329" s="11"/>
      <c r="B329" s="11"/>
      <c r="C329" s="11"/>
      <c r="D329" s="11"/>
      <c r="E329" s="12"/>
      <c r="F329" s="12"/>
      <c r="G329" s="11"/>
      <c r="H329" s="11"/>
      <c r="I329" s="11"/>
      <c r="J329" s="11"/>
      <c r="K329" s="11"/>
      <c r="L329" s="11"/>
      <c r="M329" s="11"/>
      <c r="N329" s="11"/>
      <c r="O329" s="11"/>
    </row>
    <row r="330" spans="1:15" ht="15.6" hidden="1">
      <c r="A330" s="11"/>
      <c r="B330" s="11"/>
      <c r="C330" s="11"/>
      <c r="D330" s="11"/>
      <c r="E330" s="12"/>
      <c r="F330" s="12"/>
      <c r="G330" s="11"/>
      <c r="H330" s="11"/>
      <c r="I330" s="11"/>
      <c r="J330" s="11"/>
      <c r="K330" s="11"/>
      <c r="L330" s="11"/>
      <c r="M330" s="11"/>
      <c r="N330" s="11"/>
      <c r="O330" s="11"/>
    </row>
    <row r="331" spans="1:15" ht="15.6" hidden="1">
      <c r="A331" s="11"/>
      <c r="B331" s="11"/>
      <c r="C331" s="11"/>
      <c r="D331" s="11"/>
      <c r="E331" s="12"/>
      <c r="F331" s="12"/>
      <c r="G331" s="11"/>
      <c r="H331" s="11"/>
      <c r="I331" s="11"/>
      <c r="J331" s="11"/>
      <c r="K331" s="11"/>
      <c r="L331" s="11"/>
      <c r="M331" s="11"/>
      <c r="N331" s="11"/>
      <c r="O331" s="11"/>
    </row>
    <row r="332" spans="1:15" ht="15.6" hidden="1">
      <c r="A332" s="11"/>
      <c r="B332" s="11"/>
      <c r="C332" s="11"/>
      <c r="D332" s="11"/>
      <c r="E332" s="12"/>
      <c r="F332" s="12"/>
      <c r="G332" s="11"/>
      <c r="H332" s="11"/>
      <c r="I332" s="11"/>
      <c r="J332" s="11"/>
      <c r="K332" s="11"/>
      <c r="L332" s="11"/>
      <c r="M332" s="11"/>
      <c r="N332" s="11"/>
      <c r="O332" s="11"/>
    </row>
    <row r="333" spans="1:15" ht="15.6" hidden="1">
      <c r="A333" s="11"/>
      <c r="B333" s="11"/>
      <c r="C333" s="11"/>
      <c r="D333" s="11"/>
      <c r="E333" s="12"/>
      <c r="F333" s="12"/>
      <c r="G333" s="11"/>
      <c r="H333" s="11"/>
      <c r="I333" s="11"/>
      <c r="J333" s="11"/>
      <c r="K333" s="11"/>
      <c r="L333" s="11"/>
      <c r="M333" s="11"/>
      <c r="N333" s="11"/>
      <c r="O333" s="11"/>
    </row>
    <row r="334" spans="1:15" ht="15.6" hidden="1">
      <c r="A334" s="11"/>
      <c r="B334" s="11"/>
      <c r="C334" s="11"/>
      <c r="D334" s="11"/>
      <c r="E334" s="12"/>
      <c r="F334" s="12"/>
      <c r="G334" s="11"/>
      <c r="H334" s="11"/>
      <c r="I334" s="11"/>
      <c r="J334" s="11"/>
      <c r="K334" s="11"/>
      <c r="L334" s="11"/>
      <c r="M334" s="11"/>
      <c r="N334" s="11"/>
      <c r="O334" s="11"/>
    </row>
    <row r="335" spans="1:15" ht="15.6" hidden="1">
      <c r="A335" s="11"/>
      <c r="B335" s="11"/>
      <c r="C335" s="11"/>
      <c r="D335" s="11"/>
      <c r="E335" s="12"/>
      <c r="F335" s="12"/>
      <c r="G335" s="11"/>
      <c r="H335" s="11"/>
      <c r="I335" s="11"/>
      <c r="J335" s="11"/>
      <c r="K335" s="11"/>
      <c r="L335" s="11"/>
      <c r="M335" s="11"/>
      <c r="N335" s="11"/>
      <c r="O335" s="11"/>
    </row>
    <row r="336" spans="1:15" ht="15.6" hidden="1">
      <c r="A336" s="11"/>
      <c r="B336" s="11"/>
      <c r="C336" s="11"/>
      <c r="D336" s="11"/>
      <c r="E336" s="12"/>
      <c r="F336" s="12"/>
      <c r="G336" s="11"/>
      <c r="H336" s="11"/>
      <c r="I336" s="11"/>
      <c r="J336" s="11"/>
      <c r="K336" s="11"/>
      <c r="L336" s="11"/>
      <c r="M336" s="11"/>
      <c r="N336" s="11"/>
      <c r="O336" s="11"/>
    </row>
    <row r="337" spans="1:15" ht="15.6" hidden="1">
      <c r="A337" s="11"/>
      <c r="B337" s="11"/>
      <c r="C337" s="11"/>
      <c r="D337" s="11"/>
      <c r="E337" s="12"/>
      <c r="F337" s="12"/>
      <c r="G337" s="11"/>
      <c r="H337" s="11"/>
      <c r="I337" s="11"/>
      <c r="J337" s="11"/>
      <c r="K337" s="11"/>
      <c r="L337" s="11"/>
      <c r="M337" s="11"/>
      <c r="N337" s="11"/>
      <c r="O337" s="11"/>
    </row>
    <row r="338" spans="1:15" ht="15.6" hidden="1">
      <c r="A338" s="11"/>
      <c r="B338" s="11"/>
      <c r="C338" s="11"/>
      <c r="D338" s="11"/>
      <c r="E338" s="12"/>
      <c r="F338" s="12"/>
      <c r="G338" s="11"/>
      <c r="H338" s="11"/>
      <c r="I338" s="11"/>
      <c r="J338" s="11"/>
      <c r="K338" s="11"/>
      <c r="L338" s="11"/>
      <c r="M338" s="11"/>
      <c r="N338" s="11"/>
      <c r="O338" s="11"/>
    </row>
    <row r="339" spans="1:15" ht="15.6" hidden="1">
      <c r="A339" s="11"/>
      <c r="B339" s="11"/>
      <c r="C339" s="11"/>
      <c r="D339" s="11"/>
      <c r="E339" s="12"/>
      <c r="F339" s="12"/>
      <c r="G339" s="11"/>
      <c r="H339" s="11"/>
      <c r="I339" s="11"/>
      <c r="J339" s="11"/>
      <c r="K339" s="11"/>
      <c r="L339" s="11"/>
      <c r="M339" s="11"/>
      <c r="N339" s="11"/>
      <c r="O339" s="11"/>
    </row>
    <row r="340" spans="1:15" ht="15.6" hidden="1">
      <c r="A340" s="11"/>
      <c r="B340" s="11"/>
      <c r="C340" s="11"/>
      <c r="D340" s="11"/>
      <c r="E340" s="12"/>
      <c r="F340" s="12"/>
      <c r="G340" s="11"/>
      <c r="H340" s="11"/>
      <c r="I340" s="11"/>
      <c r="J340" s="11"/>
      <c r="K340" s="11"/>
      <c r="L340" s="11"/>
      <c r="M340" s="11"/>
      <c r="N340" s="11"/>
      <c r="O340" s="11"/>
    </row>
    <row r="341" spans="1:15" ht="15.6" hidden="1">
      <c r="A341" s="11"/>
      <c r="B341" s="11"/>
      <c r="C341" s="11"/>
      <c r="D341" s="11"/>
      <c r="E341" s="12"/>
      <c r="F341" s="12"/>
      <c r="G341" s="11"/>
      <c r="H341" s="11"/>
      <c r="I341" s="11"/>
      <c r="J341" s="11"/>
      <c r="K341" s="11"/>
      <c r="L341" s="11"/>
      <c r="M341" s="11"/>
      <c r="N341" s="11"/>
      <c r="O341" s="11"/>
    </row>
    <row r="342" spans="1:15" ht="15.6" hidden="1">
      <c r="A342" s="11"/>
      <c r="B342" s="11"/>
      <c r="C342" s="11"/>
      <c r="D342" s="11"/>
      <c r="E342" s="12"/>
      <c r="F342" s="12"/>
      <c r="G342" s="11"/>
      <c r="H342" s="11"/>
      <c r="I342" s="11"/>
      <c r="J342" s="11"/>
      <c r="K342" s="11"/>
      <c r="L342" s="11"/>
      <c r="M342" s="11"/>
      <c r="N342" s="11"/>
      <c r="O342" s="11"/>
    </row>
    <row r="343" spans="1:15" ht="15.6" hidden="1">
      <c r="A343" s="11"/>
      <c r="B343" s="11"/>
      <c r="C343" s="11"/>
      <c r="D343" s="11"/>
      <c r="E343" s="12"/>
      <c r="F343" s="12"/>
      <c r="G343" s="11"/>
      <c r="H343" s="11"/>
      <c r="I343" s="11"/>
      <c r="J343" s="11"/>
      <c r="K343" s="11"/>
      <c r="L343" s="11"/>
      <c r="M343" s="11"/>
      <c r="N343" s="11"/>
      <c r="O343" s="11"/>
    </row>
    <row r="344" spans="1:15" ht="15.6" hidden="1">
      <c r="A344" s="11"/>
      <c r="B344" s="11"/>
      <c r="C344" s="11"/>
      <c r="D344" s="11"/>
      <c r="E344" s="12"/>
      <c r="F344" s="12"/>
      <c r="G344" s="11"/>
      <c r="H344" s="11"/>
      <c r="I344" s="11"/>
      <c r="J344" s="11"/>
      <c r="K344" s="11"/>
      <c r="L344" s="11"/>
      <c r="M344" s="11"/>
      <c r="N344" s="11"/>
      <c r="O344" s="11"/>
    </row>
    <row r="345" spans="1:15" ht="15.6" hidden="1">
      <c r="A345" s="11"/>
      <c r="B345" s="11"/>
      <c r="C345" s="11"/>
      <c r="D345" s="11"/>
      <c r="E345" s="12"/>
      <c r="F345" s="12"/>
      <c r="G345" s="11"/>
      <c r="H345" s="11"/>
      <c r="I345" s="11"/>
      <c r="J345" s="11"/>
      <c r="K345" s="11"/>
      <c r="L345" s="11"/>
      <c r="M345" s="11"/>
      <c r="N345" s="11"/>
      <c r="O345" s="11"/>
    </row>
    <row r="346" spans="1:15" ht="15.6" hidden="1">
      <c r="A346" s="11"/>
      <c r="B346" s="11"/>
      <c r="C346" s="11"/>
      <c r="D346" s="11"/>
      <c r="E346" s="12"/>
      <c r="F346" s="12"/>
      <c r="G346" s="11"/>
      <c r="H346" s="11"/>
      <c r="I346" s="11"/>
      <c r="J346" s="11"/>
      <c r="K346" s="11"/>
      <c r="L346" s="11"/>
      <c r="M346" s="11"/>
      <c r="N346" s="11"/>
      <c r="O346" s="11"/>
    </row>
    <row r="347" spans="1:15" ht="15.6" hidden="1">
      <c r="A347" s="11"/>
      <c r="B347" s="11"/>
      <c r="C347" s="11"/>
      <c r="D347" s="11"/>
      <c r="E347" s="12"/>
      <c r="F347" s="12"/>
      <c r="G347" s="11"/>
      <c r="H347" s="11"/>
      <c r="I347" s="11"/>
      <c r="J347" s="11"/>
      <c r="K347" s="11"/>
      <c r="L347" s="11"/>
      <c r="M347" s="11"/>
      <c r="N347" s="11"/>
      <c r="O347" s="11"/>
    </row>
    <row r="348" spans="1:15" ht="15.6" hidden="1">
      <c r="A348" s="11"/>
      <c r="B348" s="11"/>
      <c r="C348" s="11"/>
      <c r="D348" s="11"/>
      <c r="E348" s="12"/>
      <c r="F348" s="12"/>
      <c r="G348" s="11"/>
      <c r="H348" s="11"/>
      <c r="I348" s="11"/>
      <c r="J348" s="11"/>
      <c r="K348" s="11"/>
      <c r="L348" s="11"/>
      <c r="M348" s="11"/>
      <c r="N348" s="11"/>
      <c r="O348" s="11"/>
    </row>
    <row r="349" spans="1:15" ht="15.6" hidden="1">
      <c r="A349" s="11"/>
      <c r="B349" s="11"/>
      <c r="C349" s="11"/>
      <c r="D349" s="11"/>
      <c r="E349" s="12"/>
      <c r="F349" s="12"/>
      <c r="G349" s="11"/>
      <c r="H349" s="11"/>
      <c r="I349" s="11"/>
      <c r="J349" s="11"/>
      <c r="K349" s="11"/>
      <c r="L349" s="11"/>
      <c r="M349" s="11"/>
      <c r="N349" s="11"/>
      <c r="O349" s="11"/>
    </row>
    <row r="350" spans="1:15" ht="15.6" hidden="1">
      <c r="A350" s="11"/>
      <c r="B350" s="11"/>
      <c r="C350" s="11"/>
      <c r="D350" s="11"/>
      <c r="E350" s="12"/>
      <c r="F350" s="12"/>
      <c r="G350" s="11"/>
      <c r="H350" s="11"/>
      <c r="I350" s="11"/>
      <c r="J350" s="11"/>
      <c r="K350" s="11"/>
      <c r="L350" s="11"/>
      <c r="M350" s="11"/>
      <c r="N350" s="11"/>
      <c r="O350" s="11"/>
    </row>
    <row r="351" spans="1:15" ht="15.6" hidden="1">
      <c r="A351" s="11"/>
      <c r="B351" s="11"/>
      <c r="C351" s="11"/>
      <c r="D351" s="11"/>
      <c r="E351" s="12"/>
      <c r="F351" s="12"/>
      <c r="G351" s="11"/>
      <c r="H351" s="11"/>
      <c r="I351" s="11"/>
      <c r="J351" s="11"/>
      <c r="K351" s="11"/>
      <c r="L351" s="11"/>
      <c r="M351" s="11"/>
      <c r="N351" s="11"/>
      <c r="O351" s="11"/>
    </row>
    <row r="352" spans="1:15" ht="15.6" hidden="1">
      <c r="A352" s="11"/>
      <c r="B352" s="11"/>
      <c r="C352" s="11"/>
      <c r="D352" s="11"/>
      <c r="E352" s="12"/>
      <c r="F352" s="12"/>
      <c r="G352" s="11"/>
      <c r="H352" s="11"/>
      <c r="I352" s="11"/>
      <c r="J352" s="11"/>
      <c r="K352" s="11"/>
      <c r="L352" s="11"/>
      <c r="M352" s="11"/>
      <c r="N352" s="11"/>
      <c r="O352" s="11"/>
    </row>
    <row r="353" spans="1:15" ht="15.6" hidden="1">
      <c r="A353" s="11"/>
      <c r="B353" s="11"/>
      <c r="C353" s="11"/>
      <c r="D353" s="11"/>
      <c r="E353" s="12"/>
      <c r="F353" s="12"/>
      <c r="G353" s="11"/>
      <c r="H353" s="11"/>
      <c r="I353" s="11"/>
      <c r="J353" s="11"/>
      <c r="K353" s="11"/>
      <c r="L353" s="11"/>
      <c r="M353" s="11"/>
      <c r="N353" s="11"/>
      <c r="O353" s="11"/>
    </row>
    <row r="354" spans="1:15" ht="15.6" hidden="1">
      <c r="A354" s="11"/>
      <c r="B354" s="11"/>
      <c r="C354" s="11"/>
      <c r="D354" s="11"/>
      <c r="E354" s="12"/>
      <c r="F354" s="12"/>
      <c r="G354" s="11"/>
      <c r="H354" s="11"/>
      <c r="I354" s="11"/>
      <c r="J354" s="11"/>
      <c r="K354" s="11"/>
      <c r="L354" s="11"/>
      <c r="M354" s="11"/>
      <c r="N354" s="11"/>
      <c r="O354" s="11"/>
    </row>
    <row r="355" spans="1:15" ht="15.6" hidden="1">
      <c r="A355" s="11"/>
      <c r="B355" s="11"/>
      <c r="C355" s="11"/>
      <c r="D355" s="11"/>
      <c r="E355" s="12"/>
      <c r="F355" s="12"/>
      <c r="G355" s="11"/>
      <c r="H355" s="11"/>
      <c r="I355" s="11"/>
      <c r="J355" s="11"/>
      <c r="K355" s="11"/>
      <c r="L355" s="11"/>
      <c r="M355" s="11"/>
      <c r="N355" s="11"/>
      <c r="O355" s="11"/>
    </row>
    <row r="356" spans="1:15" ht="15.6" hidden="1">
      <c r="A356" s="11"/>
      <c r="B356" s="11"/>
      <c r="C356" s="11"/>
      <c r="D356" s="11"/>
      <c r="E356" s="12"/>
      <c r="F356" s="12"/>
      <c r="G356" s="11"/>
      <c r="H356" s="11"/>
      <c r="I356" s="11"/>
      <c r="J356" s="11"/>
      <c r="K356" s="11"/>
      <c r="L356" s="11"/>
      <c r="M356" s="11"/>
      <c r="N356" s="11"/>
      <c r="O356" s="11"/>
    </row>
    <row r="357" spans="1:15" ht="15.6" hidden="1">
      <c r="A357" s="11"/>
      <c r="B357" s="11"/>
      <c r="C357" s="11"/>
      <c r="D357" s="11"/>
      <c r="E357" s="12"/>
      <c r="F357" s="12"/>
      <c r="G357" s="11"/>
      <c r="H357" s="11"/>
      <c r="I357" s="11"/>
      <c r="J357" s="11"/>
      <c r="K357" s="11"/>
      <c r="L357" s="11"/>
      <c r="M357" s="11"/>
      <c r="N357" s="11"/>
      <c r="O357" s="11"/>
    </row>
    <row r="358" spans="1:15" ht="15.6" hidden="1">
      <c r="A358" s="11"/>
      <c r="B358" s="11"/>
      <c r="C358" s="11"/>
      <c r="D358" s="11"/>
      <c r="E358" s="12"/>
      <c r="F358" s="12"/>
      <c r="G358" s="11"/>
      <c r="H358" s="11"/>
      <c r="I358" s="11"/>
      <c r="J358" s="11"/>
      <c r="K358" s="11"/>
      <c r="L358" s="11"/>
      <c r="M358" s="11"/>
      <c r="N358" s="11"/>
      <c r="O358" s="11"/>
    </row>
    <row r="359" spans="1:15" ht="15.6" hidden="1">
      <c r="A359" s="11"/>
      <c r="B359" s="11"/>
      <c r="C359" s="11"/>
      <c r="D359" s="11"/>
      <c r="E359" s="12"/>
      <c r="F359" s="12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1:15" ht="15.6" hidden="1">
      <c r="A360" s="11"/>
      <c r="B360" s="11"/>
      <c r="C360" s="11"/>
      <c r="D360" s="11"/>
      <c r="E360" s="12"/>
      <c r="F360" s="12"/>
      <c r="G360" s="11"/>
      <c r="H360" s="11"/>
      <c r="I360" s="11"/>
      <c r="J360" s="11"/>
      <c r="K360" s="11"/>
      <c r="L360" s="11"/>
      <c r="M360" s="11"/>
      <c r="N360" s="11"/>
      <c r="O360" s="11"/>
    </row>
    <row r="361" spans="1:15" ht="15.6" hidden="1">
      <c r="A361" s="11"/>
      <c r="B361" s="11"/>
      <c r="C361" s="11"/>
      <c r="D361" s="11"/>
      <c r="E361" s="12"/>
      <c r="F361" s="12"/>
      <c r="G361" s="11"/>
      <c r="H361" s="11"/>
      <c r="I361" s="11"/>
      <c r="J361" s="11"/>
      <c r="K361" s="11"/>
      <c r="L361" s="11"/>
      <c r="M361" s="11"/>
      <c r="N361" s="11"/>
      <c r="O361" s="11"/>
    </row>
    <row r="362" spans="1:15" ht="15.6" hidden="1">
      <c r="A362" s="11"/>
      <c r="B362" s="11"/>
      <c r="C362" s="11"/>
      <c r="D362" s="11"/>
      <c r="E362" s="12"/>
      <c r="F362" s="12"/>
      <c r="G362" s="11"/>
      <c r="H362" s="11"/>
      <c r="I362" s="11"/>
      <c r="J362" s="11"/>
      <c r="K362" s="11"/>
      <c r="L362" s="11"/>
      <c r="M362" s="11"/>
      <c r="N362" s="11"/>
      <c r="O362" s="11"/>
    </row>
    <row r="363" spans="1:15" ht="15.6" hidden="1">
      <c r="A363" s="11"/>
      <c r="B363" s="11"/>
      <c r="C363" s="11"/>
      <c r="D363" s="11"/>
      <c r="E363" s="12"/>
      <c r="F363" s="12"/>
      <c r="G363" s="11"/>
      <c r="H363" s="11"/>
      <c r="I363" s="11"/>
      <c r="J363" s="11"/>
      <c r="K363" s="11"/>
      <c r="L363" s="11"/>
      <c r="M363" s="11"/>
      <c r="N363" s="11"/>
      <c r="O363" s="11"/>
    </row>
    <row r="364" spans="1:15" ht="15.6" hidden="1">
      <c r="A364" s="11"/>
      <c r="B364" s="11"/>
      <c r="C364" s="11"/>
      <c r="D364" s="11"/>
      <c r="E364" s="12"/>
      <c r="F364" s="12"/>
      <c r="G364" s="11"/>
      <c r="H364" s="11"/>
      <c r="I364" s="11"/>
      <c r="J364" s="11"/>
      <c r="K364" s="11"/>
      <c r="L364" s="11"/>
      <c r="M364" s="11"/>
      <c r="N364" s="11"/>
      <c r="O364" s="11"/>
    </row>
    <row r="365" spans="1:15" ht="15.6" hidden="1">
      <c r="A365" s="11"/>
      <c r="B365" s="11"/>
      <c r="C365" s="11"/>
      <c r="D365" s="11"/>
      <c r="E365" s="12"/>
      <c r="F365" s="12"/>
      <c r="G365" s="11"/>
      <c r="H365" s="11"/>
      <c r="I365" s="11"/>
      <c r="J365" s="11"/>
      <c r="K365" s="11"/>
      <c r="L365" s="11"/>
      <c r="M365" s="11"/>
      <c r="N365" s="11"/>
      <c r="O365" s="11"/>
    </row>
    <row r="366" spans="1:15" ht="15.6" hidden="1">
      <c r="A366" s="11"/>
      <c r="B366" s="11"/>
      <c r="C366" s="11"/>
      <c r="D366" s="11"/>
      <c r="E366" s="12"/>
      <c r="F366" s="12"/>
      <c r="G366" s="11"/>
      <c r="H366" s="11"/>
      <c r="I366" s="11"/>
      <c r="J366" s="11"/>
      <c r="K366" s="11"/>
      <c r="L366" s="11"/>
      <c r="M366" s="11"/>
      <c r="N366" s="11"/>
      <c r="O366" s="11"/>
    </row>
    <row r="367" spans="1:15" ht="15.6" hidden="1">
      <c r="A367" s="11"/>
      <c r="B367" s="11"/>
      <c r="C367" s="11"/>
      <c r="D367" s="11"/>
      <c r="E367" s="12"/>
      <c r="F367" s="12"/>
      <c r="G367" s="11"/>
      <c r="H367" s="11"/>
      <c r="I367" s="11"/>
      <c r="J367" s="11"/>
      <c r="K367" s="11"/>
      <c r="L367" s="11"/>
      <c r="M367" s="11"/>
      <c r="N367" s="11"/>
      <c r="O367" s="11"/>
    </row>
    <row r="368" spans="1:15" ht="15.6" hidden="1">
      <c r="A368" s="11"/>
      <c r="B368" s="11"/>
      <c r="C368" s="11"/>
      <c r="D368" s="11"/>
      <c r="E368" s="12"/>
      <c r="F368" s="12"/>
      <c r="G368" s="11"/>
      <c r="H368" s="11"/>
      <c r="I368" s="11"/>
      <c r="J368" s="11"/>
      <c r="K368" s="11"/>
      <c r="L368" s="11"/>
      <c r="M368" s="11"/>
      <c r="N368" s="11"/>
      <c r="O368" s="11"/>
    </row>
    <row r="369" spans="1:15" ht="15.6" hidden="1">
      <c r="A369" s="11"/>
      <c r="B369" s="11"/>
      <c r="C369" s="11"/>
      <c r="D369" s="11"/>
      <c r="E369" s="12"/>
      <c r="F369" s="12"/>
      <c r="G369" s="11"/>
      <c r="H369" s="11"/>
      <c r="I369" s="11"/>
      <c r="J369" s="11"/>
      <c r="K369" s="11"/>
      <c r="L369" s="11"/>
      <c r="M369" s="11"/>
      <c r="N369" s="11"/>
      <c r="O369" s="11"/>
    </row>
    <row r="370" spans="1:15" ht="15.6" hidden="1">
      <c r="A370" s="11"/>
      <c r="B370" s="11"/>
      <c r="C370" s="11"/>
      <c r="D370" s="11"/>
      <c r="E370" s="12"/>
      <c r="F370" s="12"/>
      <c r="G370" s="11"/>
      <c r="H370" s="11"/>
      <c r="I370" s="11"/>
      <c r="J370" s="11"/>
      <c r="K370" s="11"/>
      <c r="L370" s="11"/>
      <c r="M370" s="11"/>
      <c r="N370" s="11"/>
      <c r="O370" s="11"/>
    </row>
    <row r="371" spans="1:15" ht="15.6" hidden="1">
      <c r="A371" s="11"/>
      <c r="B371" s="11"/>
      <c r="C371" s="11"/>
      <c r="D371" s="11"/>
      <c r="E371" s="12"/>
      <c r="F371" s="12"/>
      <c r="G371" s="11"/>
      <c r="H371" s="11"/>
      <c r="I371" s="11"/>
      <c r="J371" s="11"/>
      <c r="K371" s="11"/>
      <c r="L371" s="11"/>
      <c r="M371" s="11"/>
      <c r="N371" s="11"/>
      <c r="O371" s="11"/>
    </row>
    <row r="372" spans="1:15" ht="15.6" hidden="1">
      <c r="A372" s="11"/>
      <c r="B372" s="11"/>
      <c r="C372" s="11"/>
      <c r="D372" s="11"/>
      <c r="E372" s="12"/>
      <c r="F372" s="12"/>
      <c r="G372" s="11"/>
      <c r="H372" s="11"/>
      <c r="I372" s="11"/>
      <c r="J372" s="11"/>
      <c r="K372" s="11"/>
      <c r="L372" s="11"/>
      <c r="M372" s="11"/>
      <c r="N372" s="11"/>
      <c r="O372" s="11"/>
    </row>
    <row r="373" spans="1:15" ht="15.6" hidden="1">
      <c r="A373" s="11"/>
      <c r="B373" s="11"/>
      <c r="C373" s="11"/>
      <c r="D373" s="11"/>
      <c r="E373" s="12"/>
      <c r="F373" s="12"/>
      <c r="G373" s="11"/>
      <c r="H373" s="11"/>
      <c r="I373" s="11"/>
      <c r="J373" s="11"/>
      <c r="K373" s="11"/>
      <c r="L373" s="11"/>
      <c r="M373" s="11"/>
      <c r="N373" s="11"/>
      <c r="O373" s="11"/>
    </row>
    <row r="374" spans="1:15" ht="15.6" hidden="1">
      <c r="A374" s="11"/>
      <c r="B374" s="11"/>
      <c r="C374" s="11"/>
      <c r="D374" s="11"/>
      <c r="E374" s="12"/>
      <c r="F374" s="12"/>
      <c r="G374" s="11"/>
      <c r="H374" s="11"/>
      <c r="I374" s="11"/>
      <c r="J374" s="11"/>
      <c r="K374" s="11"/>
      <c r="L374" s="11"/>
      <c r="M374" s="11"/>
      <c r="N374" s="11"/>
      <c r="O374" s="11"/>
    </row>
    <row r="375" spans="1:15" ht="15.6" hidden="1">
      <c r="A375" s="11"/>
      <c r="B375" s="11"/>
      <c r="C375" s="11"/>
      <c r="D375" s="11"/>
      <c r="E375" s="12"/>
      <c r="F375" s="12"/>
      <c r="G375" s="11"/>
      <c r="H375" s="11"/>
      <c r="I375" s="11"/>
      <c r="J375" s="11"/>
      <c r="K375" s="11"/>
      <c r="L375" s="11"/>
      <c r="M375" s="11"/>
      <c r="N375" s="11"/>
      <c r="O375" s="11"/>
    </row>
    <row r="376" spans="1:15" ht="15.6" hidden="1">
      <c r="A376" s="11"/>
      <c r="B376" s="11"/>
      <c r="C376" s="11"/>
      <c r="D376" s="11"/>
      <c r="E376" s="12"/>
      <c r="F376" s="12"/>
      <c r="G376" s="11"/>
      <c r="H376" s="11"/>
      <c r="I376" s="11"/>
      <c r="J376" s="11"/>
      <c r="K376" s="11"/>
      <c r="L376" s="11"/>
      <c r="M376" s="11"/>
      <c r="N376" s="11"/>
      <c r="O376" s="11"/>
    </row>
    <row r="377" spans="1:15" ht="15.6" hidden="1">
      <c r="A377" s="11"/>
      <c r="B377" s="11"/>
      <c r="C377" s="11"/>
      <c r="D377" s="11"/>
      <c r="E377" s="12"/>
      <c r="F377" s="12"/>
      <c r="G377" s="11"/>
      <c r="H377" s="11"/>
      <c r="I377" s="11"/>
      <c r="J377" s="11"/>
      <c r="K377" s="11"/>
      <c r="L377" s="11"/>
      <c r="M377" s="11"/>
      <c r="N377" s="11"/>
      <c r="O377" s="11"/>
    </row>
    <row r="378" spans="1:15" ht="15.6" hidden="1">
      <c r="A378" s="11"/>
      <c r="B378" s="11"/>
      <c r="C378" s="11"/>
      <c r="D378" s="11"/>
      <c r="E378" s="12"/>
      <c r="F378" s="12"/>
      <c r="G378" s="11"/>
      <c r="H378" s="11"/>
      <c r="I378" s="11"/>
      <c r="J378" s="11"/>
      <c r="K378" s="11"/>
      <c r="L378" s="11"/>
      <c r="M378" s="11"/>
      <c r="N378" s="11"/>
      <c r="O378" s="11"/>
    </row>
    <row r="379" spans="1:15" ht="15.6" hidden="1">
      <c r="A379" s="11"/>
      <c r="B379" s="11"/>
      <c r="C379" s="11"/>
      <c r="D379" s="11"/>
      <c r="E379" s="12"/>
      <c r="F379" s="12"/>
      <c r="G379" s="11"/>
      <c r="H379" s="11"/>
      <c r="I379" s="11"/>
      <c r="J379" s="11"/>
      <c r="K379" s="11"/>
      <c r="L379" s="11"/>
      <c r="M379" s="11"/>
      <c r="N379" s="11"/>
      <c r="O379" s="11"/>
    </row>
    <row r="380" spans="1:15" ht="15.6" hidden="1">
      <c r="A380" s="11"/>
      <c r="B380" s="11"/>
      <c r="C380" s="11"/>
      <c r="D380" s="11"/>
      <c r="E380" s="12"/>
      <c r="F380" s="12"/>
      <c r="G380" s="11"/>
      <c r="H380" s="11"/>
      <c r="I380" s="11"/>
      <c r="J380" s="11"/>
      <c r="K380" s="11"/>
      <c r="L380" s="11"/>
      <c r="M380" s="11"/>
      <c r="N380" s="11"/>
      <c r="O380" s="11"/>
    </row>
    <row r="381" spans="1:15" ht="15.6" hidden="1">
      <c r="A381" s="11"/>
      <c r="B381" s="11"/>
      <c r="C381" s="11"/>
      <c r="D381" s="11"/>
      <c r="E381" s="12"/>
      <c r="F381" s="12"/>
      <c r="G381" s="11"/>
      <c r="H381" s="11"/>
      <c r="I381" s="11"/>
      <c r="J381" s="11"/>
      <c r="K381" s="11"/>
      <c r="L381" s="11"/>
      <c r="M381" s="11"/>
      <c r="N381" s="11"/>
      <c r="O381" s="11"/>
    </row>
    <row r="382" spans="1:15" ht="15.6" hidden="1">
      <c r="A382" s="11"/>
      <c r="B382" s="11"/>
      <c r="C382" s="11"/>
      <c r="D382" s="11"/>
      <c r="E382" s="12"/>
      <c r="F382" s="12"/>
      <c r="G382" s="11"/>
      <c r="H382" s="11"/>
      <c r="I382" s="11"/>
      <c r="J382" s="11"/>
      <c r="K382" s="11"/>
      <c r="L382" s="11"/>
      <c r="M382" s="11"/>
      <c r="N382" s="11"/>
      <c r="O382" s="11"/>
    </row>
    <row r="383" spans="1:15" ht="15.6" hidden="1">
      <c r="A383" s="11"/>
      <c r="B383" s="11"/>
      <c r="C383" s="11"/>
      <c r="D383" s="11"/>
      <c r="E383" s="12"/>
      <c r="F383" s="12"/>
      <c r="G383" s="11"/>
      <c r="H383" s="11"/>
      <c r="I383" s="11"/>
      <c r="J383" s="11"/>
      <c r="K383" s="11"/>
      <c r="L383" s="11"/>
      <c r="M383" s="11"/>
      <c r="N383" s="11"/>
      <c r="O383" s="11"/>
    </row>
    <row r="384" spans="1:15" ht="15.6" hidden="1">
      <c r="A384" s="11"/>
      <c r="B384" s="11"/>
      <c r="C384" s="11"/>
      <c r="D384" s="11"/>
      <c r="E384" s="12"/>
      <c r="F384" s="12"/>
      <c r="G384" s="11"/>
      <c r="H384" s="11"/>
      <c r="I384" s="11"/>
      <c r="J384" s="11"/>
      <c r="K384" s="11"/>
      <c r="L384" s="11"/>
      <c r="M384" s="11"/>
      <c r="N384" s="11"/>
      <c r="O384" s="11"/>
    </row>
    <row r="385" spans="1:15" ht="15.6" hidden="1">
      <c r="A385" s="11"/>
      <c r="B385" s="11"/>
      <c r="C385" s="11"/>
      <c r="D385" s="11"/>
      <c r="E385" s="12"/>
      <c r="F385" s="12"/>
      <c r="G385" s="11"/>
      <c r="H385" s="11"/>
      <c r="I385" s="11"/>
      <c r="J385" s="11"/>
      <c r="K385" s="11"/>
      <c r="L385" s="11"/>
      <c r="M385" s="11"/>
      <c r="N385" s="11"/>
      <c r="O385" s="11"/>
    </row>
    <row r="386" spans="1:15" ht="15.6" hidden="1">
      <c r="A386" s="11"/>
      <c r="B386" s="11"/>
      <c r="C386" s="11"/>
      <c r="D386" s="11"/>
      <c r="E386" s="12"/>
      <c r="F386" s="12"/>
      <c r="G386" s="11"/>
      <c r="H386" s="11"/>
      <c r="I386" s="11"/>
      <c r="J386" s="11"/>
      <c r="K386" s="11"/>
      <c r="L386" s="11"/>
      <c r="M386" s="11"/>
      <c r="N386" s="11"/>
      <c r="O386" s="11"/>
    </row>
    <row r="387" spans="1:15" ht="15.6" hidden="1">
      <c r="A387" s="11"/>
      <c r="B387" s="11"/>
      <c r="C387" s="11"/>
      <c r="D387" s="11"/>
      <c r="E387" s="12"/>
      <c r="F387" s="12"/>
      <c r="G387" s="11"/>
      <c r="H387" s="11"/>
      <c r="I387" s="11"/>
      <c r="J387" s="11"/>
      <c r="K387" s="11"/>
      <c r="L387" s="11"/>
      <c r="M387" s="11"/>
      <c r="N387" s="11"/>
      <c r="O387" s="11"/>
    </row>
    <row r="388" spans="1:15" ht="15.6" hidden="1">
      <c r="A388" s="11"/>
      <c r="B388" s="11"/>
      <c r="C388" s="11"/>
      <c r="D388" s="11"/>
      <c r="E388" s="12"/>
      <c r="F388" s="12"/>
      <c r="G388" s="11"/>
      <c r="H388" s="11"/>
      <c r="I388" s="11"/>
      <c r="J388" s="11"/>
      <c r="K388" s="11"/>
      <c r="L388" s="11"/>
      <c r="M388" s="11"/>
      <c r="N388" s="11"/>
      <c r="O388" s="11"/>
    </row>
    <row r="389" spans="1:15" ht="15.6" hidden="1">
      <c r="A389" s="11"/>
      <c r="B389" s="11"/>
      <c r="C389" s="11"/>
      <c r="D389" s="11"/>
      <c r="E389" s="12"/>
      <c r="F389" s="12"/>
      <c r="G389" s="11"/>
      <c r="H389" s="11"/>
      <c r="I389" s="11"/>
      <c r="J389" s="11"/>
      <c r="K389" s="11"/>
      <c r="L389" s="11"/>
      <c r="M389" s="11"/>
      <c r="N389" s="11"/>
      <c r="O389" s="11"/>
    </row>
    <row r="390" spans="1:15" ht="15.6" hidden="1">
      <c r="A390" s="11"/>
      <c r="B390" s="11"/>
      <c r="C390" s="11"/>
      <c r="D390" s="11"/>
      <c r="E390" s="12"/>
      <c r="F390" s="12"/>
      <c r="G390" s="11"/>
      <c r="H390" s="11"/>
      <c r="I390" s="11"/>
      <c r="J390" s="11"/>
      <c r="K390" s="11"/>
      <c r="L390" s="11"/>
      <c r="M390" s="11"/>
      <c r="N390" s="11"/>
      <c r="O390" s="11"/>
    </row>
    <row r="391" spans="1:15" ht="15.6" hidden="1">
      <c r="A391" s="11"/>
      <c r="B391" s="11"/>
      <c r="C391" s="11"/>
      <c r="D391" s="11"/>
      <c r="E391" s="12"/>
      <c r="F391" s="12"/>
      <c r="G391" s="11"/>
      <c r="H391" s="11"/>
      <c r="I391" s="11"/>
      <c r="J391" s="11"/>
      <c r="K391" s="11"/>
      <c r="L391" s="11"/>
      <c r="M391" s="11"/>
      <c r="N391" s="11"/>
      <c r="O391" s="11"/>
    </row>
    <row r="392" spans="1:15" ht="15.6" hidden="1">
      <c r="A392" s="11"/>
      <c r="B392" s="11"/>
      <c r="C392" s="11"/>
      <c r="D392" s="11"/>
      <c r="E392" s="12"/>
      <c r="F392" s="12"/>
      <c r="G392" s="11"/>
      <c r="H392" s="11"/>
      <c r="I392" s="11"/>
      <c r="J392" s="11"/>
      <c r="K392" s="11"/>
      <c r="L392" s="11"/>
      <c r="M392" s="11"/>
      <c r="N392" s="11"/>
      <c r="O392" s="11"/>
    </row>
    <row r="393" spans="1:15" ht="15.6" hidden="1">
      <c r="A393" s="11"/>
      <c r="B393" s="11"/>
      <c r="C393" s="11"/>
      <c r="D393" s="11"/>
      <c r="E393" s="12"/>
      <c r="F393" s="12"/>
      <c r="G393" s="11"/>
      <c r="H393" s="11"/>
      <c r="I393" s="11"/>
      <c r="J393" s="11"/>
      <c r="K393" s="11"/>
      <c r="L393" s="11"/>
      <c r="M393" s="11"/>
      <c r="N393" s="11"/>
      <c r="O393" s="11"/>
    </row>
    <row r="394" spans="1:15" ht="15.6" hidden="1">
      <c r="A394" s="11"/>
      <c r="B394" s="11"/>
      <c r="C394" s="11"/>
      <c r="D394" s="11"/>
      <c r="E394" s="12"/>
      <c r="F394" s="12"/>
      <c r="G394" s="11"/>
      <c r="H394" s="11"/>
      <c r="I394" s="11"/>
      <c r="J394" s="11"/>
      <c r="K394" s="11"/>
      <c r="L394" s="11"/>
      <c r="M394" s="11"/>
      <c r="N394" s="11"/>
      <c r="O394" s="11"/>
    </row>
    <row r="395" spans="1:15" ht="15.6" hidden="1">
      <c r="A395" s="11"/>
      <c r="B395" s="11"/>
      <c r="C395" s="11"/>
      <c r="D395" s="11"/>
      <c r="E395" s="12"/>
      <c r="F395" s="12"/>
      <c r="G395" s="11"/>
      <c r="H395" s="11"/>
      <c r="I395" s="11"/>
      <c r="J395" s="11"/>
      <c r="K395" s="11"/>
      <c r="L395" s="11"/>
      <c r="M395" s="11"/>
      <c r="N395" s="11"/>
      <c r="O395" s="11"/>
    </row>
    <row r="396" spans="1:15" ht="15.6" hidden="1">
      <c r="A396" s="11"/>
      <c r="B396" s="11"/>
      <c r="C396" s="11"/>
      <c r="D396" s="11"/>
      <c r="E396" s="12"/>
      <c r="F396" s="12"/>
      <c r="G396" s="11"/>
      <c r="H396" s="11"/>
      <c r="I396" s="11"/>
      <c r="J396" s="11"/>
      <c r="K396" s="11"/>
      <c r="L396" s="11"/>
      <c r="M396" s="11"/>
      <c r="N396" s="11"/>
      <c r="O396" s="11"/>
    </row>
    <row r="397" spans="1:15" ht="15.6" hidden="1">
      <c r="A397" s="11"/>
      <c r="B397" s="11"/>
      <c r="C397" s="11"/>
      <c r="D397" s="11"/>
      <c r="E397" s="12"/>
      <c r="F397" s="12"/>
      <c r="G397" s="11"/>
      <c r="H397" s="11"/>
      <c r="I397" s="11"/>
      <c r="J397" s="11"/>
      <c r="K397" s="11"/>
      <c r="L397" s="11"/>
      <c r="M397" s="11"/>
      <c r="N397" s="11"/>
      <c r="O397" s="11"/>
    </row>
    <row r="398" spans="1:15" ht="15.6" hidden="1">
      <c r="A398" s="11"/>
      <c r="B398" s="11"/>
      <c r="C398" s="11"/>
      <c r="D398" s="11"/>
      <c r="E398" s="12"/>
      <c r="F398" s="12"/>
      <c r="G398" s="11"/>
      <c r="H398" s="11"/>
      <c r="I398" s="11"/>
      <c r="J398" s="11"/>
      <c r="K398" s="11"/>
      <c r="L398" s="11"/>
      <c r="M398" s="11"/>
      <c r="N398" s="11"/>
      <c r="O398" s="11"/>
    </row>
    <row r="399" spans="1:15" ht="15.6" hidden="1">
      <c r="A399" s="11"/>
      <c r="B399" s="11"/>
      <c r="C399" s="11"/>
      <c r="D399" s="11"/>
      <c r="E399" s="12"/>
      <c r="F399" s="12"/>
      <c r="G399" s="11"/>
      <c r="H399" s="11"/>
      <c r="I399" s="11"/>
      <c r="J399" s="11"/>
      <c r="K399" s="11"/>
      <c r="L399" s="11"/>
      <c r="M399" s="11"/>
      <c r="N399" s="11"/>
      <c r="O399" s="11"/>
    </row>
    <row r="400" spans="1:15" ht="15.6" hidden="1">
      <c r="A400" s="11"/>
      <c r="B400" s="11"/>
      <c r="C400" s="11"/>
      <c r="D400" s="11"/>
      <c r="E400" s="12"/>
      <c r="F400" s="12"/>
      <c r="G400" s="11"/>
      <c r="H400" s="11"/>
      <c r="I400" s="11"/>
      <c r="J400" s="11"/>
      <c r="K400" s="11"/>
      <c r="L400" s="11"/>
      <c r="M400" s="11"/>
      <c r="N400" s="11"/>
      <c r="O400" s="11"/>
    </row>
    <row r="401" spans="1:15" ht="15.6" hidden="1">
      <c r="A401" s="11"/>
      <c r="B401" s="11"/>
      <c r="C401" s="11"/>
      <c r="D401" s="11"/>
      <c r="E401" s="12"/>
      <c r="F401" s="12"/>
      <c r="G401" s="11"/>
      <c r="H401" s="11"/>
      <c r="I401" s="11"/>
      <c r="J401" s="11"/>
      <c r="K401" s="11"/>
      <c r="L401" s="11"/>
      <c r="M401" s="11"/>
      <c r="N401" s="11"/>
      <c r="O401" s="11"/>
    </row>
    <row r="402" spans="1:15" ht="15.6" hidden="1">
      <c r="A402" s="11"/>
      <c r="B402" s="11"/>
      <c r="C402" s="11"/>
      <c r="D402" s="11"/>
      <c r="E402" s="12"/>
      <c r="F402" s="12"/>
      <c r="G402" s="11"/>
      <c r="H402" s="11"/>
      <c r="I402" s="11"/>
      <c r="J402" s="11"/>
      <c r="K402" s="11"/>
      <c r="L402" s="11"/>
      <c r="M402" s="11"/>
      <c r="N402" s="11"/>
      <c r="O402" s="11"/>
    </row>
    <row r="403" spans="1:15" ht="15.6" hidden="1">
      <c r="A403" s="11"/>
      <c r="B403" s="11"/>
      <c r="C403" s="11"/>
      <c r="D403" s="11"/>
      <c r="E403" s="12"/>
      <c r="F403" s="12"/>
      <c r="G403" s="11"/>
      <c r="H403" s="11"/>
      <c r="I403" s="11"/>
      <c r="J403" s="11"/>
      <c r="K403" s="11"/>
      <c r="L403" s="11"/>
      <c r="M403" s="11"/>
      <c r="N403" s="11"/>
      <c r="O403" s="11"/>
    </row>
    <row r="404" spans="1:15" ht="15.6" hidden="1">
      <c r="A404" s="11"/>
      <c r="B404" s="11"/>
      <c r="C404" s="11"/>
      <c r="D404" s="11"/>
      <c r="E404" s="12"/>
      <c r="F404" s="12"/>
      <c r="G404" s="11"/>
      <c r="H404" s="11"/>
      <c r="I404" s="11"/>
      <c r="J404" s="11"/>
      <c r="K404" s="11"/>
      <c r="L404" s="11"/>
      <c r="M404" s="11"/>
      <c r="N404" s="11"/>
      <c r="O404" s="11"/>
    </row>
    <row r="405" spans="1:15" ht="15.6" hidden="1">
      <c r="A405" s="11"/>
      <c r="B405" s="11"/>
      <c r="C405" s="11"/>
      <c r="D405" s="11"/>
      <c r="E405" s="12"/>
      <c r="F405" s="12"/>
      <c r="G405" s="11"/>
      <c r="H405" s="11"/>
      <c r="I405" s="11"/>
      <c r="J405" s="11"/>
      <c r="K405" s="11"/>
      <c r="L405" s="11"/>
      <c r="M405" s="11"/>
      <c r="N405" s="11"/>
      <c r="O405" s="11"/>
    </row>
    <row r="406" spans="1:15" ht="15.6" hidden="1">
      <c r="A406" s="11"/>
      <c r="B406" s="11"/>
      <c r="C406" s="11"/>
      <c r="D406" s="11"/>
      <c r="E406" s="12"/>
      <c r="F406" s="12"/>
      <c r="G406" s="11"/>
      <c r="H406" s="11"/>
      <c r="I406" s="11"/>
      <c r="J406" s="11"/>
      <c r="K406" s="11"/>
      <c r="L406" s="11"/>
      <c r="M406" s="11"/>
      <c r="N406" s="11"/>
      <c r="O406" s="11"/>
    </row>
    <row r="407" spans="1:15" ht="15.6" hidden="1">
      <c r="A407" s="11"/>
      <c r="B407" s="11"/>
      <c r="C407" s="11"/>
      <c r="D407" s="11"/>
      <c r="E407" s="12"/>
      <c r="F407" s="12"/>
      <c r="G407" s="11"/>
      <c r="H407" s="11"/>
      <c r="I407" s="11"/>
      <c r="J407" s="11"/>
      <c r="K407" s="11"/>
      <c r="L407" s="11"/>
      <c r="M407" s="11"/>
      <c r="N407" s="11"/>
      <c r="O407" s="11"/>
    </row>
    <row r="408" spans="1:15" ht="15.6" hidden="1">
      <c r="A408" s="11"/>
      <c r="B408" s="11"/>
      <c r="C408" s="11"/>
      <c r="D408" s="11"/>
      <c r="E408" s="12"/>
      <c r="F408" s="12"/>
      <c r="G408" s="11"/>
      <c r="H408" s="11"/>
      <c r="I408" s="11"/>
      <c r="J408" s="11"/>
      <c r="K408" s="11"/>
      <c r="L408" s="11"/>
      <c r="M408" s="11"/>
      <c r="N408" s="11"/>
      <c r="O408" s="11"/>
    </row>
    <row r="409" spans="1:15" ht="15.6" hidden="1">
      <c r="A409" s="11"/>
      <c r="B409" s="11"/>
      <c r="C409" s="11"/>
      <c r="D409" s="11"/>
      <c r="E409" s="12"/>
      <c r="F409" s="12"/>
      <c r="G409" s="11"/>
      <c r="H409" s="11"/>
      <c r="I409" s="11"/>
      <c r="J409" s="11"/>
      <c r="K409" s="11"/>
      <c r="L409" s="11"/>
      <c r="M409" s="11"/>
      <c r="N409" s="11"/>
      <c r="O409" s="11"/>
    </row>
    <row r="410" spans="1:15" ht="15.6" hidden="1">
      <c r="A410" s="11"/>
      <c r="B410" s="11"/>
      <c r="C410" s="11"/>
      <c r="D410" s="11"/>
      <c r="E410" s="12"/>
      <c r="F410" s="12"/>
      <c r="G410" s="11"/>
      <c r="H410" s="11"/>
      <c r="I410" s="11"/>
      <c r="J410" s="11"/>
      <c r="K410" s="11"/>
      <c r="L410" s="11"/>
      <c r="M410" s="11"/>
      <c r="N410" s="11"/>
      <c r="O410" s="11"/>
    </row>
    <row r="411" spans="1:15" ht="15.6" hidden="1">
      <c r="A411" s="11"/>
      <c r="B411" s="11"/>
      <c r="C411" s="11"/>
      <c r="D411" s="11"/>
      <c r="E411" s="12"/>
      <c r="F411" s="12"/>
      <c r="G411" s="11"/>
      <c r="H411" s="11"/>
      <c r="I411" s="11"/>
      <c r="J411" s="11"/>
      <c r="K411" s="11"/>
      <c r="L411" s="11"/>
      <c r="M411" s="11"/>
      <c r="N411" s="11"/>
      <c r="O411" s="11"/>
    </row>
    <row r="412" spans="1:15" ht="15.6" hidden="1">
      <c r="A412" s="11"/>
      <c r="B412" s="11"/>
      <c r="C412" s="11"/>
      <c r="D412" s="11"/>
      <c r="E412" s="12"/>
      <c r="F412" s="12"/>
      <c r="G412" s="11"/>
      <c r="H412" s="11"/>
      <c r="I412" s="11"/>
      <c r="J412" s="11"/>
      <c r="K412" s="11"/>
      <c r="L412" s="11"/>
      <c r="M412" s="11"/>
      <c r="N412" s="11"/>
      <c r="O412" s="11"/>
    </row>
    <row r="413" spans="1:15" ht="15.6" hidden="1">
      <c r="A413" s="11"/>
      <c r="B413" s="11"/>
      <c r="C413" s="11"/>
      <c r="D413" s="11"/>
      <c r="E413" s="12"/>
      <c r="F413" s="12"/>
      <c r="G413" s="11"/>
      <c r="H413" s="11"/>
      <c r="I413" s="11"/>
      <c r="J413" s="11"/>
      <c r="K413" s="11"/>
      <c r="L413" s="11"/>
      <c r="M413" s="11"/>
      <c r="N413" s="11"/>
      <c r="O413" s="11"/>
    </row>
    <row r="414" spans="1:15" ht="15.6" hidden="1">
      <c r="A414" s="11"/>
      <c r="B414" s="11"/>
      <c r="C414" s="11"/>
      <c r="D414" s="11"/>
      <c r="E414" s="12"/>
      <c r="F414" s="12"/>
      <c r="G414" s="11"/>
      <c r="H414" s="11"/>
      <c r="I414" s="11"/>
      <c r="J414" s="11"/>
      <c r="K414" s="11"/>
      <c r="L414" s="11"/>
      <c r="M414" s="11"/>
      <c r="N414" s="11"/>
      <c r="O414" s="11"/>
    </row>
    <row r="415" spans="1:15" ht="15.6" hidden="1">
      <c r="A415" s="11"/>
      <c r="B415" s="11"/>
      <c r="C415" s="11"/>
      <c r="D415" s="11"/>
      <c r="E415" s="12"/>
      <c r="F415" s="12"/>
      <c r="G415" s="11"/>
      <c r="H415" s="11"/>
      <c r="I415" s="11"/>
      <c r="J415" s="11"/>
      <c r="K415" s="11"/>
      <c r="L415" s="11"/>
      <c r="M415" s="11"/>
      <c r="N415" s="11"/>
      <c r="O415" s="11"/>
    </row>
    <row r="416" spans="1:15" ht="15.6" hidden="1">
      <c r="A416" s="11"/>
      <c r="B416" s="11"/>
      <c r="C416" s="11"/>
      <c r="D416" s="11"/>
      <c r="E416" s="12"/>
      <c r="F416" s="12"/>
      <c r="G416" s="11"/>
      <c r="H416" s="11"/>
      <c r="I416" s="11"/>
      <c r="J416" s="11"/>
      <c r="K416" s="11"/>
      <c r="L416" s="11"/>
      <c r="M416" s="11"/>
      <c r="N416" s="11"/>
      <c r="O416" s="11"/>
    </row>
    <row r="417" spans="1:15" ht="15.6" hidden="1">
      <c r="A417" s="11"/>
      <c r="B417" s="11"/>
      <c r="C417" s="11"/>
      <c r="D417" s="11"/>
      <c r="E417" s="12"/>
      <c r="F417" s="12"/>
      <c r="G417" s="11"/>
      <c r="H417" s="11"/>
      <c r="I417" s="11"/>
      <c r="J417" s="11"/>
      <c r="K417" s="11"/>
      <c r="L417" s="11"/>
      <c r="M417" s="11"/>
      <c r="N417" s="11"/>
      <c r="O417" s="11"/>
    </row>
    <row r="418" spans="1:15" ht="15.6" hidden="1">
      <c r="A418" s="11"/>
      <c r="B418" s="11"/>
      <c r="C418" s="11"/>
      <c r="D418" s="11"/>
      <c r="E418" s="12"/>
      <c r="F418" s="12"/>
      <c r="G418" s="11"/>
      <c r="H418" s="11"/>
      <c r="I418" s="11"/>
      <c r="J418" s="11"/>
      <c r="K418" s="11"/>
      <c r="L418" s="11"/>
      <c r="M418" s="11"/>
      <c r="N418" s="11"/>
      <c r="O418" s="11"/>
    </row>
    <row r="419" spans="1:15" ht="15.6" hidden="1">
      <c r="A419" s="11"/>
      <c r="B419" s="11"/>
      <c r="C419" s="11"/>
      <c r="D419" s="11"/>
      <c r="E419" s="12"/>
      <c r="F419" s="12"/>
      <c r="G419" s="11"/>
      <c r="H419" s="11"/>
      <c r="I419" s="11"/>
      <c r="J419" s="11"/>
      <c r="K419" s="11"/>
      <c r="L419" s="11"/>
      <c r="M419" s="11"/>
      <c r="N419" s="11"/>
      <c r="O419" s="11"/>
    </row>
    <row r="420" spans="1:15" ht="15.6" hidden="1">
      <c r="A420" s="11"/>
      <c r="B420" s="11"/>
      <c r="C420" s="11"/>
      <c r="D420" s="11"/>
      <c r="E420" s="12"/>
      <c r="F420" s="12"/>
      <c r="G420" s="11"/>
      <c r="H420" s="11"/>
      <c r="I420" s="11"/>
      <c r="J420" s="11"/>
      <c r="K420" s="11"/>
      <c r="L420" s="11"/>
      <c r="M420" s="11"/>
      <c r="N420" s="11"/>
      <c r="O420" s="11"/>
    </row>
    <row r="421" spans="1:15" ht="15.6" hidden="1">
      <c r="A421" s="11"/>
      <c r="B421" s="11"/>
      <c r="C421" s="11"/>
      <c r="D421" s="11"/>
      <c r="E421" s="12"/>
      <c r="F421" s="12"/>
      <c r="G421" s="11"/>
      <c r="H421" s="11"/>
      <c r="I421" s="11"/>
      <c r="J421" s="11"/>
      <c r="K421" s="11"/>
      <c r="L421" s="11"/>
      <c r="M421" s="11"/>
      <c r="N421" s="11"/>
      <c r="O421" s="11"/>
    </row>
    <row r="422" spans="1:15" ht="15.6" hidden="1">
      <c r="A422" s="11"/>
      <c r="B422" s="11"/>
      <c r="C422" s="11"/>
      <c r="D422" s="11"/>
      <c r="E422" s="12"/>
      <c r="F422" s="12"/>
      <c r="G422" s="11"/>
      <c r="H422" s="11"/>
      <c r="I422" s="11"/>
      <c r="J422" s="11"/>
      <c r="K422" s="11"/>
      <c r="L422" s="11"/>
      <c r="M422" s="11"/>
      <c r="N422" s="11"/>
      <c r="O422" s="11"/>
    </row>
    <row r="423" spans="1:15" ht="15.6" hidden="1">
      <c r="A423" s="11"/>
      <c r="B423" s="11"/>
      <c r="C423" s="11"/>
      <c r="D423" s="11"/>
      <c r="E423" s="12"/>
      <c r="F423" s="12"/>
      <c r="G423" s="11"/>
      <c r="H423" s="11"/>
      <c r="I423" s="11"/>
      <c r="J423" s="11"/>
      <c r="K423" s="11"/>
      <c r="L423" s="11"/>
      <c r="M423" s="11"/>
      <c r="N423" s="11"/>
      <c r="O423" s="11"/>
    </row>
    <row r="424" spans="1:15" ht="15.6" hidden="1">
      <c r="A424" s="11"/>
      <c r="B424" s="11"/>
      <c r="C424" s="11"/>
      <c r="D424" s="11"/>
      <c r="E424" s="12"/>
      <c r="F424" s="12"/>
      <c r="G424" s="11"/>
      <c r="H424" s="11"/>
      <c r="I424" s="11"/>
      <c r="J424" s="11"/>
      <c r="K424" s="11"/>
      <c r="L424" s="11"/>
      <c r="M424" s="11"/>
      <c r="N424" s="11"/>
      <c r="O424" s="11"/>
    </row>
    <row r="425" spans="1:15" ht="15.6" hidden="1">
      <c r="A425" s="11"/>
      <c r="B425" s="11"/>
      <c r="C425" s="11"/>
      <c r="D425" s="11"/>
      <c r="E425" s="12"/>
      <c r="F425" s="12"/>
      <c r="G425" s="11"/>
      <c r="H425" s="11"/>
      <c r="I425" s="11"/>
      <c r="J425" s="11"/>
      <c r="K425" s="11"/>
      <c r="L425" s="11"/>
      <c r="M425" s="11"/>
      <c r="N425" s="11"/>
      <c r="O425" s="11"/>
    </row>
    <row r="426" spans="1:15" ht="15.6" hidden="1">
      <c r="A426" s="11"/>
      <c r="B426" s="11"/>
      <c r="C426" s="11"/>
      <c r="D426" s="11"/>
      <c r="E426" s="12"/>
      <c r="F426" s="12"/>
      <c r="G426" s="11"/>
      <c r="H426" s="11"/>
      <c r="I426" s="11"/>
      <c r="J426" s="11"/>
      <c r="K426" s="11"/>
      <c r="L426" s="11"/>
      <c r="M426" s="11"/>
      <c r="N426" s="11"/>
      <c r="O426" s="11"/>
    </row>
    <row r="427" spans="1:15" ht="15.6" hidden="1">
      <c r="A427" s="11"/>
      <c r="B427" s="11"/>
      <c r="C427" s="11"/>
      <c r="D427" s="11"/>
      <c r="E427" s="12"/>
      <c r="F427" s="12"/>
      <c r="G427" s="11"/>
      <c r="H427" s="11"/>
      <c r="I427" s="11"/>
      <c r="J427" s="11"/>
      <c r="K427" s="11"/>
      <c r="L427" s="11"/>
      <c r="M427" s="11"/>
      <c r="N427" s="11"/>
      <c r="O427" s="11"/>
    </row>
    <row r="428" spans="1:15" ht="15.6" hidden="1">
      <c r="A428" s="11"/>
      <c r="B428" s="11"/>
      <c r="C428" s="11"/>
      <c r="D428" s="11"/>
      <c r="E428" s="12"/>
      <c r="F428" s="12"/>
      <c r="G428" s="11"/>
      <c r="H428" s="11"/>
      <c r="I428" s="11"/>
      <c r="J428" s="11"/>
      <c r="K428" s="11"/>
      <c r="L428" s="11"/>
      <c r="M428" s="11"/>
      <c r="N428" s="11"/>
      <c r="O428" s="11"/>
    </row>
    <row r="429" spans="1:15" ht="15.6" hidden="1">
      <c r="A429" s="11"/>
      <c r="B429" s="11"/>
      <c r="C429" s="11"/>
      <c r="D429" s="11"/>
      <c r="E429" s="12"/>
      <c r="F429" s="12"/>
      <c r="G429" s="11"/>
      <c r="H429" s="11"/>
      <c r="I429" s="11"/>
      <c r="J429" s="11"/>
      <c r="K429" s="11"/>
      <c r="L429" s="11"/>
      <c r="M429" s="11"/>
      <c r="N429" s="11"/>
      <c r="O429" s="11"/>
    </row>
    <row r="430" spans="1:15" ht="15.6" hidden="1">
      <c r="A430" s="11"/>
      <c r="B430" s="11"/>
      <c r="C430" s="11"/>
      <c r="D430" s="11"/>
      <c r="E430" s="12"/>
      <c r="F430" s="12"/>
      <c r="G430" s="11"/>
      <c r="H430" s="11"/>
      <c r="I430" s="11"/>
      <c r="J430" s="11"/>
      <c r="K430" s="11"/>
      <c r="L430" s="11"/>
      <c r="M430" s="11"/>
      <c r="N430" s="11"/>
      <c r="O430" s="11"/>
    </row>
    <row r="431" spans="1:15" ht="15.6" hidden="1">
      <c r="A431" s="11"/>
      <c r="B431" s="11"/>
      <c r="C431" s="11"/>
      <c r="D431" s="11"/>
      <c r="E431" s="12"/>
      <c r="F431" s="12"/>
      <c r="G431" s="11"/>
      <c r="H431" s="11"/>
      <c r="I431" s="11"/>
      <c r="J431" s="11"/>
      <c r="K431" s="11"/>
      <c r="L431" s="11"/>
      <c r="M431" s="11"/>
      <c r="N431" s="11"/>
      <c r="O431" s="11"/>
    </row>
    <row r="432" spans="1:15" ht="15.6" hidden="1">
      <c r="A432" s="11"/>
      <c r="B432" s="11"/>
      <c r="C432" s="11"/>
      <c r="D432" s="11"/>
      <c r="E432" s="12"/>
      <c r="F432" s="12"/>
      <c r="G432" s="11"/>
      <c r="H432" s="11"/>
      <c r="I432" s="11"/>
      <c r="J432" s="11"/>
      <c r="K432" s="11"/>
      <c r="L432" s="11"/>
      <c r="M432" s="11"/>
      <c r="N432" s="11"/>
      <c r="O432" s="11"/>
    </row>
    <row r="433" spans="1:15" ht="15.6" hidden="1">
      <c r="A433" s="11"/>
      <c r="B433" s="11"/>
      <c r="C433" s="11"/>
      <c r="D433" s="11"/>
      <c r="E433" s="12"/>
      <c r="F433" s="12"/>
      <c r="G433" s="11"/>
      <c r="H433" s="11"/>
      <c r="I433" s="11"/>
      <c r="J433" s="11"/>
      <c r="K433" s="11"/>
      <c r="L433" s="11"/>
      <c r="M433" s="11"/>
      <c r="N433" s="11"/>
      <c r="O433" s="11"/>
    </row>
    <row r="434" spans="1:15" ht="15.6" hidden="1">
      <c r="A434" s="11"/>
      <c r="B434" s="11"/>
      <c r="C434" s="11"/>
      <c r="D434" s="11"/>
      <c r="E434" s="12"/>
      <c r="F434" s="12"/>
      <c r="G434" s="11"/>
      <c r="H434" s="11"/>
      <c r="I434" s="11"/>
      <c r="J434" s="11"/>
      <c r="K434" s="11"/>
      <c r="L434" s="11"/>
      <c r="M434" s="11"/>
      <c r="N434" s="11"/>
      <c r="O434" s="11"/>
    </row>
    <row r="435" spans="1:15" ht="13.2" hidden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spans="1:15" ht="13.2" hidden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spans="1:15" ht="13.2" hidden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spans="1:15" ht="13.2" hidden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spans="1:15" ht="13.2" hidden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spans="1:15" ht="13.2" hidden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spans="1:15" ht="13.2" hidden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spans="1:15" ht="13.2" hidden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spans="1:15" ht="13.2" hidden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spans="1:15" ht="13.2" hidden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spans="1:15" ht="13.2" hidden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spans="1:15" ht="13.2" hidden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spans="1:15" ht="13.2" hidden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spans="1:15" ht="13.2" hidden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spans="1:15" ht="13.2" hidden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spans="1:15" ht="13.2" hidden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spans="1:15" ht="13.2" hidden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spans="1:15" ht="13.2" hidden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spans="1:15" ht="13.2" hidden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spans="1:15" ht="13.2" hidden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spans="1:15" ht="13.2" hidden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spans="1:15" ht="13.2" hidden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spans="1:15" ht="13.2" hidden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spans="1:15" ht="13.2" hidden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spans="1:15" ht="13.2" hidden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spans="1:15" ht="13.2" hidden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spans="1:15" ht="13.2" hidden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spans="1:15" ht="13.2" hidden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spans="1:15" ht="13.2" hidden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spans="1:15" ht="13.2" hidden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spans="1:15" ht="13.2" hidden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spans="1:15" ht="13.2" hidden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spans="1:15" ht="13.2" hidden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spans="1:15" ht="13.2" hidden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spans="1:15" ht="13.2" hidden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spans="1:15" ht="13.2" hidden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spans="1:15" ht="13.2" hidden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spans="1:15" ht="13.2" hidden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spans="1:15" ht="13.2" hidden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spans="1:15" ht="13.2" hidden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spans="1:15" ht="13.2" hidden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spans="1:15" ht="13.2" hidden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spans="1:15" ht="13.2" hidden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spans="1:15" ht="13.2" hidden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spans="1:15" ht="13.2" hidden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spans="1:15" ht="13.2" hidden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spans="1:15" ht="13.2" hidden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spans="1:15" ht="13.2" hidden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spans="1:15" ht="13.2" hidden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spans="1:15" ht="13.2" hidden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spans="1:15" ht="13.2" hidden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spans="1:15" ht="13.2" hidden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spans="1:15" ht="13.2" hidden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spans="1:15" ht="13.2" hidden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spans="1:15" ht="13.2" hidden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spans="1:15" ht="13.2" hidden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spans="1:15" ht="13.2" hidden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spans="1:15" ht="13.2" hidden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spans="1:15" ht="13.2" hidden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spans="1:15" ht="13.2" hidden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spans="1:15" ht="13.2" hidden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spans="1:15" ht="13.2" hidden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spans="1:15" ht="13.2" hidden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spans="1:15" ht="13.2" hidden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spans="1:15" ht="13.2" hidden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spans="1:15" ht="13.2" hidden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spans="1:15" ht="13.2" hidden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spans="1:15" ht="13.2" hidden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spans="1:15" ht="13.2" hidden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spans="1:15" ht="13.2" hidden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spans="1:15" ht="13.2" hidden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spans="1:15" ht="13.2" hidden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spans="1:15" ht="13.2" hidden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spans="1:15" ht="13.2" hidden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spans="1:15" ht="13.2" hidden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spans="1:15" ht="13.2" hidden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spans="1:15" ht="13.2" hidden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spans="1:15" ht="13.2" hidden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spans="1:15" ht="13.2" hidden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spans="1:15" ht="13.2" hidden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spans="1:15" ht="13.2" hidden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spans="1:15" ht="13.2" hidden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spans="1:15" ht="13.2" hidden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spans="1:15" ht="13.2" hidden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spans="1:15" ht="13.2" hidden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spans="1:15" ht="13.2" hidden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spans="1:15" ht="13.2" hidden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spans="1:15" ht="13.2" hidden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spans="1:15" ht="13.2" hidden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spans="1:15" ht="13.2" hidden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spans="1:15" ht="13.2" hidden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spans="1:15" ht="13.2" hidden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1:15" ht="13.2" hidden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spans="1:15" ht="13.2" hidden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spans="1:15" ht="13.2" hidden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spans="1:15" ht="13.2" hidden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spans="1:15" ht="13.2" hidden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spans="1:15" ht="13.2" hidden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spans="1:15" ht="13.2" hidden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spans="1:15" ht="13.2" hidden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spans="1:15" ht="13.2" hidden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spans="1:15" ht="13.2" hidden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spans="1:15" ht="13.2" hidden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spans="1:15" ht="13.2" hidden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spans="1:15" ht="13.2" hidden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spans="1:15" ht="13.2" hidden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spans="1:15" ht="13.2" hidden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spans="1:15" ht="13.2" hidden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spans="1:15" ht="13.2" hidden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spans="1:15" ht="13.2" hidden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spans="1:15" ht="13.2" hidden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1:15" ht="13.2" hidden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spans="1:15" ht="13.2" hidden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spans="1:15" ht="13.2" hidden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spans="1:15" ht="13.2" hidden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spans="1:15" ht="13.2" hidden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spans="1:15" ht="13.2" hidden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spans="1:15" ht="13.2" hidden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1:15" ht="13.2" hidden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1:15" ht="13.2" hidden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spans="1:15" ht="13.2" hidden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spans="1:15" ht="13.2" hidden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spans="1:15" ht="13.2" hidden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spans="1:15" ht="13.2" hidden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spans="1:15" ht="13.2" hidden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spans="1:15" ht="13.2" hidden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spans="1:15" ht="13.2" hidden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spans="1:15" ht="13.2" hidden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spans="1:15" ht="13.2" hidden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spans="1:15" ht="13.2" hidden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spans="1:15" ht="13.2" hidden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1:15" ht="13.2" hidden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spans="1:15" ht="13.2" hidden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spans="1:15" ht="13.2" hidden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spans="1:15" ht="13.2" hidden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spans="1:15" ht="13.2" hidden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spans="1:15" ht="13.2" hidden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spans="1:15" ht="13.2" hidden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spans="1:15" ht="13.2" hidden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spans="1:15" ht="13.2" hidden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spans="1:15" ht="13.2" hidden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1:15" ht="13.2" hidden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spans="1:15" ht="13.2" hidden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spans="1:15" ht="13.2" hidden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spans="1:15" ht="13.2" hidden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spans="1:15" ht="13.2" hidden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spans="1:15" ht="13.2" hidden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spans="1:15" ht="13.2" hidden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spans="1:15" ht="13.2" hidden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spans="1:15" ht="13.2" hidden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1:15" ht="13.2" hidden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spans="1:15" ht="13.2" hidden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spans="1:15" ht="13.2" hidden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spans="1:15" ht="13.2" hidden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spans="1:15" ht="13.2" hidden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spans="1:15" ht="13.2" hidden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spans="1:15" ht="13.2" hidden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spans="1:15" ht="13.2" hidden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spans="1:15" ht="13.2" hidden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spans="1:15" ht="13.2" hidden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spans="1:15" ht="13.2" hidden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spans="1:15" ht="13.2" hidden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spans="1:15" ht="13.2" hidden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spans="1:15" ht="13.2" hidden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spans="1:15" ht="13.2" hidden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1:15" ht="13.2" hidden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spans="1:15" ht="13.2" hidden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spans="1:15" ht="13.2" hidden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spans="1:15" ht="13.2" hidden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spans="1:15" ht="13.2" hidden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spans="1:15" ht="13.2" hidden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spans="1:15" ht="13.2" hidden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spans="1:15" ht="13.2" hidden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spans="1:15" ht="13.2" hidden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spans="1:15" ht="13.2" hidden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spans="1:15" ht="13.2" hidden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spans="1:15" ht="13.2" hidden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spans="1:15" ht="13.2" hidden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spans="1:15" ht="13.2" hidden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spans="1:15" ht="13.2" hidden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spans="1:15" ht="13.2" hidden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spans="1:15" ht="13.2" hidden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spans="1:15" ht="13.2" hidden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spans="1:15" ht="13.2" hidden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spans="1:15" ht="13.2" hidden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spans="1:15" ht="13.2" hidden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spans="1:15" ht="13.2" hidden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spans="1:15" ht="13.2" hidden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spans="1:15" ht="13.2" hidden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spans="1:15" ht="13.2" hidden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spans="1:15" ht="13.2" hidden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spans="1:15" ht="13.2" hidden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spans="1:15" ht="13.2" hidden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spans="1:15" ht="13.2" hidden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spans="1:15" ht="13.2" hidden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spans="1:15" ht="13.2" hidden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spans="1:15" ht="13.2" hidden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spans="1:15" ht="13.2" hidden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spans="1:15" ht="13.2" hidden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spans="1:15" ht="13.2" hidden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spans="1:15" ht="13.2" hidden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spans="1:15" ht="13.2" hidden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spans="1:15" ht="13.2" hidden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spans="1:15" ht="13.2" hidden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spans="1:15" ht="13.2" hidden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spans="1:15" ht="13.2" hidden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spans="1:15" ht="13.2" hidden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spans="1:15" ht="13.2" hidden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spans="1:15" ht="13.2" hidden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spans="1:15" ht="13.2" hidden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spans="1:15" ht="13.2" hidden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spans="1:15" ht="13.2" hidden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spans="1:15" ht="13.2" hidden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spans="1:15" ht="13.2" hidden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spans="1:15" ht="13.2" hidden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spans="1:15" ht="13.2" hidden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spans="1:15" ht="13.2" hidden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spans="1:15" ht="13.2" hidden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spans="1:15" ht="13.2" hidden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spans="1:15" ht="13.2" hidden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spans="1:15" ht="13.2" hidden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spans="1:15" ht="13.2" hidden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spans="1:15" ht="13.2" hidden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spans="1:15" ht="13.2" hidden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spans="1:15" ht="13.2" hidden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spans="1:15" ht="13.2" hidden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spans="1:15" ht="13.2" hidden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spans="1:15" ht="13.2" hidden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spans="1:15" ht="13.2" hidden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spans="1:15" ht="13.2" hidden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spans="1:15" ht="13.2" hidden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spans="1:15" ht="13.2" hidden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spans="1:15" ht="13.2" hidden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spans="1:15" ht="13.2" hidden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spans="1:15" ht="13.2" hidden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spans="1:15" ht="13.2" hidden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spans="1:15" ht="13.2" hidden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spans="1:15" ht="13.2" hidden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spans="1:15" ht="13.2" hidden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spans="1:15" ht="13.2" hidden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spans="1:15" ht="13.2" hidden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spans="1:15" ht="13.2" hidden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spans="1:15" ht="13.2" hidden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spans="1:15" ht="13.2" hidden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spans="1:15" ht="13.2" hidden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spans="1:15" ht="13.2" hidden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spans="1:15" ht="13.2" hidden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spans="1:15" ht="13.2" hidden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spans="1:15" ht="13.2" hidden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spans="1:15" ht="13.2" hidden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spans="1:15" ht="13.2" hidden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spans="1:15" ht="13.2" hidden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spans="1:15" ht="13.2" hidden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spans="1:15" ht="13.2" hidden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spans="1:15" ht="13.2" hidden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spans="1:15" ht="13.2" hidden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spans="1:15" ht="13.2" hidden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spans="1:15" ht="13.2" hidden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spans="1:15" ht="13.2" hidden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spans="1:15" ht="13.2" hidden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spans="1:15" ht="13.2" hidden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spans="1:15" ht="13.2" hidden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spans="1:15" ht="13.2" hidden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spans="1:15" ht="13.2" hidden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spans="1:15" ht="13.2" hidden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spans="1:15" ht="13.2" hidden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spans="1:15" ht="13.2" hidden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spans="1:15" ht="13.2" hidden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spans="1:15" ht="13.2" hidden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spans="1:15" ht="13.2" hidden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spans="1:15" ht="13.2" hidden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spans="1:15" ht="13.2" hidden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spans="1:15" ht="13.2" hidden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spans="1:15" ht="13.2" hidden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spans="1:15" ht="13.2" hidden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spans="1:15" ht="13.2" hidden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spans="1:15" ht="13.2" hidden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spans="1:15" ht="13.2" hidden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spans="1:15" ht="13.2" hidden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spans="1:15" ht="13.2" hidden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spans="1:15" ht="13.2" hidden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spans="1:15" ht="13.2" hidden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spans="1:15" ht="13.2" hidden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spans="1:15" ht="13.2" hidden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spans="1:15" ht="13.2" hidden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spans="1:15" ht="13.2" hidden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spans="1:15" ht="13.2" hidden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spans="1:15" ht="13.2" hidden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spans="1:15" ht="13.2" hidden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spans="1:15" ht="13.2" hidden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spans="1:15" ht="13.2" hidden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spans="1:15" ht="13.2" hidden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spans="1:15" ht="13.2" hidden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spans="1:15" ht="13.2" hidden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spans="1:15" ht="13.2" hidden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spans="1:15" ht="13.2" hidden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spans="1:15" ht="13.2" hidden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spans="1:15" ht="13.2" hidden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spans="1:15" ht="13.2" hidden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spans="1:15" ht="13.2" hidden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spans="1:15" ht="13.2" hidden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spans="1:15" ht="13.2" hidden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spans="1:15" ht="13.2" hidden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spans="1:15" ht="13.2" hidden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spans="1:15" ht="13.2" hidden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spans="1:15" ht="13.2" hidden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spans="1:15" ht="13.2" hidden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spans="1:15" ht="13.2" hidden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spans="1:15" ht="13.2" hidden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spans="1:15" ht="13.2" hidden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spans="1:15" ht="13.2" hidden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spans="1:15" ht="13.2" hidden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spans="1:15" ht="13.2" hidden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spans="1:15" ht="13.2" hidden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spans="1:15" ht="13.2" hidden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spans="1:15" ht="13.2" hidden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spans="1:15" ht="13.2" hidden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spans="1:15" ht="13.2" hidden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spans="1:15" ht="13.2" hidden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spans="1:15" ht="13.2" hidden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spans="1:15" ht="13.2" hidden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spans="1:15" ht="13.2" hidden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spans="1:15" ht="13.2" hidden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spans="1:15" ht="13.2" hidden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spans="1:15" ht="13.2" hidden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spans="1:15" ht="13.2" hidden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spans="1:15" ht="13.2" hidden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spans="1:15" ht="13.2" hidden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spans="1:15" ht="13.2" hidden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spans="1:15" ht="13.2" hidden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spans="1:15" ht="13.2" hidden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spans="1:15" ht="13.2" hidden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spans="1:15" ht="13.2" hidden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spans="1:15" ht="13.2" hidden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spans="1:15" ht="13.2" hidden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spans="1:15" ht="13.2" hidden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spans="1:15" ht="13.2" hidden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spans="1:15" ht="13.2" hidden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spans="1:15" ht="13.2" hidden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spans="1:15" ht="13.2" hidden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spans="1:15" ht="13.2" hidden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spans="1:15" ht="13.2" hidden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spans="1:15" ht="13.2" hidden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spans="1:15" ht="13.2" hidden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spans="1:15" ht="13.2" hidden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spans="1:15" ht="13.2" hidden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spans="1:15" ht="13.2" hidden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spans="1:15" ht="13.2" hidden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spans="1:15" ht="13.2" hidden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spans="1:15" ht="13.2" hidden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spans="1:15" ht="13.2" hidden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spans="1:15" ht="13.2" hidden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spans="1:15" ht="13.2" hidden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spans="1:15" ht="13.2" hidden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spans="1:15" ht="13.2" hidden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spans="1:15" ht="13.2" hidden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spans="1:15" ht="13.2" hidden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spans="1:15" ht="13.2" hidden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spans="1:15" ht="13.2" hidden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spans="1:15" ht="13.2" hidden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spans="1:15" ht="13.2" hidden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spans="1:15" ht="13.2" hidden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spans="1:15" ht="13.2" hidden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spans="1:15" ht="13.2" hidden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spans="1:15" ht="13.2" hidden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spans="1:15" ht="13.2" hidden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spans="1:15" ht="13.2" hidden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spans="1:15" ht="13.2" hidden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spans="1:15" ht="13.2" hidden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spans="1:15" ht="13.2" hidden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spans="1:15" ht="13.2" hidden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spans="1:15" ht="13.2" hidden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spans="1:15" ht="13.2" hidden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spans="1:15" ht="13.2" hidden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spans="1:15" ht="13.2" hidden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spans="1:15" ht="13.2" hidden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spans="1:15" ht="13.2" hidden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spans="1:15" ht="13.2" hidden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spans="1:15" ht="13.2" hidden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spans="1:15" ht="13.2" hidden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spans="1:15" ht="13.2" hidden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spans="1:15" ht="13.2" hidden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spans="1:15" ht="13.2" hidden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spans="1:15" ht="13.2" hidden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spans="1:15" ht="13.2" hidden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spans="1:15" ht="13.2" hidden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spans="1:15" ht="13.2" hidden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spans="1:15" ht="13.2" hidden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spans="1:15" ht="13.2" hidden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spans="1:15" ht="13.2" hidden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spans="1:15" ht="13.2" hidden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spans="1:15" ht="13.2" hidden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spans="1:15" ht="13.2" hidden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spans="1:15" ht="13.2" hidden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spans="1:15" ht="13.2" hidden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spans="1:15" ht="13.2" hidden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spans="1:15" ht="13.2" hidden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spans="1:15" ht="13.2" hidden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spans="1:15" ht="13.2" hidden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spans="1:15" ht="13.2" hidden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1:15" ht="13.2" hidden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1:15" ht="13.2" hidden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spans="1:15" ht="13.2" hidden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spans="1:15" ht="13.2" hidden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spans="1:15" ht="13.2" hidden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spans="1:15" ht="13.2" hidden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1:15" ht="13.2" hidden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spans="1:15" ht="13.2" hidden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spans="1:15" ht="13.2" hidden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spans="1:15" ht="13.2" hidden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spans="1:15" ht="13.2" hidden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spans="1:15" ht="13.2" hidden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spans="1:15" ht="13.2" hidden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spans="1:15" ht="13.2" hidden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spans="1:15" ht="13.2" hidden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spans="1:15" ht="13.2" hidden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spans="1:15" ht="13.2" hidden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spans="1:15" ht="13.2" hidden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spans="1:15" ht="13.2" hidden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spans="1:15" ht="13.2" hidden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spans="1:15" ht="13.2" hidden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spans="1:15" ht="13.2" hidden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spans="1:15" ht="13.2" hidden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spans="1:15" ht="13.2" hidden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spans="1:15" ht="13.2" hidden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spans="1:15" ht="13.2" hidden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spans="1:15" ht="13.2" hidden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spans="1:15" ht="13.2" hidden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spans="1:15" ht="13.2" hidden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spans="1:15" ht="13.2" hidden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spans="1:15" ht="13.2" hidden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spans="1:15" ht="13.2" hidden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spans="1:15" ht="13.2" hidden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1:15" ht="13.2" hidden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spans="1:15" ht="13.2" hidden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1:15" ht="13.2" hidden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1:15" ht="13.2" hidden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spans="1:15" ht="13.2" hidden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spans="1:15" ht="13.2" hidden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spans="1:15" ht="13.2" hidden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spans="1:15" ht="13.2" hidden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spans="1:15" ht="13.2" hidden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spans="1:15" ht="13.2" hidden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spans="1:15" ht="13.2" hidden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spans="1:15" ht="13.2" hidden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1:15" ht="13.2" hidden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spans="1:15" ht="13.2" hidden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spans="1:15" ht="13.2" hidden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spans="1:15" ht="13.2" hidden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spans="1:15" ht="13.2" hidden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spans="1:15" ht="13.2" hidden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spans="1:15" ht="13.2" hidden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spans="1:15" ht="13.2" hidden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spans="1:15" ht="13.2" hidden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spans="1:15" ht="13.2" hidden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spans="1:15" ht="13.2" hidden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spans="1:15" ht="13.2" hidden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spans="1:15" ht="13.2" hidden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spans="1:15" ht="13.2" hidden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spans="1:15" ht="13.2" hidden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1:15" ht="13.2" hidden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spans="1:15" ht="13.2" hidden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spans="1:15" ht="13.2" hidden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spans="1:15" ht="13.2" hidden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spans="1:15" ht="13.2" hidden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spans="1:15" ht="13.2" hidden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spans="1:15" ht="13.2" hidden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spans="1:15" ht="13.2" hidden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spans="1:15" ht="13.2" hidden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spans="1:15" ht="13.2" hidden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spans="1:15" ht="13.2" hidden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spans="1:15" ht="13.2" hidden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spans="1:15" ht="13.2" hidden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spans="1:15" ht="13.2" hidden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spans="1:15" ht="13.2" hidden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spans="1:15" ht="13.2" hidden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spans="1:15" ht="13.2" hidden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spans="1:15" ht="13.2" hidden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spans="1:15" ht="13.2" hidden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spans="1:15" ht="13.2" hidden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spans="1:15" ht="13.2" hidden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spans="1:15" ht="13.2" hidden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spans="1:15" ht="13.2" hidden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spans="1:15" ht="13.2" hidden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spans="1:15" ht="13.2" hidden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spans="1:15" ht="13.2" hidden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spans="1:15" ht="13.2" hidden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1:15" ht="13.2" hidden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spans="1:15" ht="13.2" hidden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spans="1:15" ht="13.2" hidden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spans="1:15" ht="13.2" hidden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spans="1:15" ht="13.2" hidden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spans="1:15" ht="13.2" hidden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spans="1:15" ht="13.2" hidden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spans="1:15" ht="13.2" hidden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spans="1:15" ht="13.2" hidden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spans="1:15" ht="13.2" hidden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spans="1:15" ht="13.2" hidden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spans="1:15" ht="13.2" hidden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spans="1:15" ht="13.2" hidden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spans="1:15" ht="13.2" hidden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spans="1:15" ht="13.2" hidden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spans="1:15" ht="13.2" hidden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spans="1:15" ht="13.2" hidden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spans="1:15" ht="13.2" hidden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spans="1:15" ht="13.2" hidden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spans="1:15" ht="13.2" hidden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spans="1:15" ht="13.2" hidden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spans="1:15" ht="13.2" hidden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spans="1:15" ht="13.2" hidden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spans="1:15" ht="13.2" hidden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spans="1:15" ht="13.2" hidden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spans="1:15" ht="13.2" hidden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spans="1:15" ht="13.2" hidden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spans="1:15" ht="13.2" hidden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spans="1:15" ht="13.2" hidden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spans="1:15" ht="13.2" hidden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spans="1:15" ht="13.2" hidden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spans="1:15" ht="13.2" hidden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spans="1:15" ht="13.2" hidden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spans="1:15" ht="13.2" hidden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spans="1:15" ht="13.2" hidden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spans="1:15" ht="13.2" hidden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spans="1:15" ht="13.2" hidden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spans="1:15" ht="13.2" hidden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spans="1:15" ht="13.2" hidden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spans="1:15" ht="13.2" hidden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spans="1:15" ht="13.2" hidden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spans="1:15" ht="13.2" hidden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spans="1:15" ht="13.2" hidden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spans="1:15" ht="13.2" hidden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spans="1:15" ht="13.2" hidden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spans="1:15" ht="13.2" hidden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spans="1:15" ht="13.2" hidden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spans="1:15" ht="13.2" hidden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spans="1:15" ht="13.2" hidden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spans="1:15" ht="13.2" hidden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spans="1:15" ht="13.2" hidden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spans="1:15" ht="13.2" hidden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spans="1:15" ht="13.2" hidden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spans="1:15" ht="13.2" hidden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spans="1:15" ht="13.2" hidden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spans="1:15" ht="13.2" hidden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spans="1:15" ht="13.2" hidden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spans="1:15" ht="13.2" hidden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spans="1:15" ht="13.2" hidden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spans="1:15" ht="13.2" hidden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spans="1:15" ht="13.2" hidden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spans="1:15" ht="13.2" hidden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spans="1:15" ht="13.2" hidden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spans="1:15" ht="13.2" hidden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spans="1:15" ht="13.2" hidden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spans="1:15" ht="13.2" hidden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spans="1:15" ht="13.2" hidden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spans="1:15" ht="13.2" hidden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spans="1:15" ht="13.2" hidden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spans="1:15" ht="13.2" hidden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spans="1:15" ht="13.2" hidden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spans="1:15" ht="13.2" hidden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spans="1:15" ht="13.2" hidden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spans="1:15" ht="13.2" hidden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spans="1:15" ht="13.2" hidden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spans="1:15" ht="13.2" hidden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spans="1:15" ht="13.2" hidden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spans="1:15" ht="13.2" hidden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spans="1:15" ht="13.2" hidden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</sheetData>
  <autoFilter ref="J1:J1000" xr:uid="{00000000-0001-0000-0000-000000000000}">
    <filterColumn colId="0">
      <filters>
        <filter val="Q1"/>
      </filters>
    </filterColumn>
  </autoFilter>
  <mergeCells count="8">
    <mergeCell ref="B255:F255"/>
    <mergeCell ref="B256:E256"/>
    <mergeCell ref="B257:C257"/>
    <mergeCell ref="A1:O1"/>
    <mergeCell ref="B251:D251"/>
    <mergeCell ref="B252:C252"/>
    <mergeCell ref="B253:E253"/>
    <mergeCell ref="B254:I254"/>
  </mergeCells>
  <hyperlinks>
    <hyperlink ref="A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  <hyperlink ref="O65" r:id="rId64" xr:uid="{00000000-0004-0000-0000-00003F000000}"/>
    <hyperlink ref="O66" r:id="rId65" xr:uid="{00000000-0004-0000-0000-000040000000}"/>
    <hyperlink ref="O67" r:id="rId66" xr:uid="{00000000-0004-0000-0000-000041000000}"/>
    <hyperlink ref="O68" r:id="rId67" xr:uid="{00000000-0004-0000-0000-000042000000}"/>
    <hyperlink ref="O69" r:id="rId68" xr:uid="{00000000-0004-0000-0000-000043000000}"/>
    <hyperlink ref="O70" r:id="rId69" xr:uid="{00000000-0004-0000-0000-000044000000}"/>
    <hyperlink ref="O71" r:id="rId70" xr:uid="{00000000-0004-0000-0000-000045000000}"/>
    <hyperlink ref="O72" r:id="rId71" xr:uid="{00000000-0004-0000-0000-000046000000}"/>
    <hyperlink ref="O73" r:id="rId72" xr:uid="{00000000-0004-0000-0000-000047000000}"/>
    <hyperlink ref="O74" r:id="rId73" xr:uid="{00000000-0004-0000-0000-000048000000}"/>
    <hyperlink ref="O75" r:id="rId74" xr:uid="{00000000-0004-0000-0000-000049000000}"/>
    <hyperlink ref="O76" r:id="rId75" xr:uid="{00000000-0004-0000-0000-00004A000000}"/>
    <hyperlink ref="O77" r:id="rId76" xr:uid="{00000000-0004-0000-0000-00004B000000}"/>
    <hyperlink ref="O78" r:id="rId77" xr:uid="{00000000-0004-0000-0000-00004C000000}"/>
    <hyperlink ref="O79" r:id="rId78" xr:uid="{00000000-0004-0000-0000-00004D000000}"/>
    <hyperlink ref="O80" r:id="rId79" xr:uid="{00000000-0004-0000-0000-00004E000000}"/>
    <hyperlink ref="O81" r:id="rId80" xr:uid="{00000000-0004-0000-0000-00004F000000}"/>
    <hyperlink ref="O82" r:id="rId81" xr:uid="{00000000-0004-0000-0000-000050000000}"/>
    <hyperlink ref="O83" r:id="rId82" xr:uid="{00000000-0004-0000-0000-000051000000}"/>
    <hyperlink ref="O84" r:id="rId83" xr:uid="{00000000-0004-0000-0000-000052000000}"/>
    <hyperlink ref="O85" r:id="rId84" xr:uid="{00000000-0004-0000-0000-000053000000}"/>
    <hyperlink ref="O86" r:id="rId85" xr:uid="{00000000-0004-0000-0000-000054000000}"/>
    <hyperlink ref="O87" r:id="rId86" xr:uid="{00000000-0004-0000-0000-000055000000}"/>
    <hyperlink ref="O88" r:id="rId87" xr:uid="{00000000-0004-0000-0000-000056000000}"/>
    <hyperlink ref="O89" r:id="rId88" xr:uid="{00000000-0004-0000-0000-000057000000}"/>
    <hyperlink ref="O90" r:id="rId89" xr:uid="{00000000-0004-0000-0000-000058000000}"/>
    <hyperlink ref="O91" r:id="rId90" xr:uid="{00000000-0004-0000-0000-000059000000}"/>
    <hyperlink ref="O92" r:id="rId91" xr:uid="{00000000-0004-0000-0000-00005A000000}"/>
    <hyperlink ref="O93" r:id="rId92" xr:uid="{00000000-0004-0000-0000-00005B000000}"/>
    <hyperlink ref="O94" r:id="rId93" xr:uid="{00000000-0004-0000-0000-00005C000000}"/>
    <hyperlink ref="O95" r:id="rId94" xr:uid="{00000000-0004-0000-0000-00005D000000}"/>
    <hyperlink ref="O96" r:id="rId95" xr:uid="{00000000-0004-0000-0000-00005E000000}"/>
    <hyperlink ref="O97" r:id="rId96" xr:uid="{00000000-0004-0000-0000-00005F000000}"/>
    <hyperlink ref="O98" r:id="rId97" xr:uid="{00000000-0004-0000-0000-000060000000}"/>
    <hyperlink ref="O99" r:id="rId98" xr:uid="{00000000-0004-0000-0000-000061000000}"/>
    <hyperlink ref="O100" r:id="rId99" xr:uid="{00000000-0004-0000-0000-000062000000}"/>
    <hyperlink ref="O101" r:id="rId100" xr:uid="{00000000-0004-0000-0000-000063000000}"/>
    <hyperlink ref="O102" r:id="rId101" xr:uid="{00000000-0004-0000-0000-000064000000}"/>
    <hyperlink ref="O103" r:id="rId102" xr:uid="{00000000-0004-0000-0000-000065000000}"/>
    <hyperlink ref="O104" r:id="rId103" xr:uid="{00000000-0004-0000-0000-000066000000}"/>
    <hyperlink ref="O105" r:id="rId104" xr:uid="{00000000-0004-0000-0000-000067000000}"/>
    <hyperlink ref="O106" r:id="rId105" xr:uid="{00000000-0004-0000-0000-000068000000}"/>
    <hyperlink ref="O107" r:id="rId106" xr:uid="{00000000-0004-0000-0000-000069000000}"/>
    <hyperlink ref="O108" r:id="rId107" xr:uid="{00000000-0004-0000-0000-00006A000000}"/>
    <hyperlink ref="O109" r:id="rId108" xr:uid="{00000000-0004-0000-0000-00006B000000}"/>
    <hyperlink ref="O110" r:id="rId109" xr:uid="{00000000-0004-0000-0000-00006C000000}"/>
    <hyperlink ref="O111" r:id="rId110" xr:uid="{00000000-0004-0000-0000-00006D000000}"/>
    <hyperlink ref="O112" r:id="rId111" xr:uid="{00000000-0004-0000-0000-00006E000000}"/>
    <hyperlink ref="O113" r:id="rId112" xr:uid="{00000000-0004-0000-0000-00006F000000}"/>
    <hyperlink ref="O114" r:id="rId113" xr:uid="{00000000-0004-0000-0000-000070000000}"/>
    <hyperlink ref="O115" r:id="rId114" xr:uid="{00000000-0004-0000-0000-000071000000}"/>
    <hyperlink ref="O116" r:id="rId115" xr:uid="{00000000-0004-0000-0000-000072000000}"/>
    <hyperlink ref="O117" r:id="rId116" xr:uid="{00000000-0004-0000-0000-000073000000}"/>
    <hyperlink ref="O118" r:id="rId117" xr:uid="{00000000-0004-0000-0000-000074000000}"/>
    <hyperlink ref="O119" r:id="rId118" xr:uid="{00000000-0004-0000-0000-000075000000}"/>
    <hyperlink ref="O120" r:id="rId119" xr:uid="{00000000-0004-0000-0000-000076000000}"/>
    <hyperlink ref="O121" r:id="rId120" xr:uid="{00000000-0004-0000-0000-000077000000}"/>
    <hyperlink ref="O122" r:id="rId121" xr:uid="{00000000-0004-0000-0000-000078000000}"/>
    <hyperlink ref="O123" r:id="rId122" xr:uid="{00000000-0004-0000-0000-000079000000}"/>
    <hyperlink ref="O124" r:id="rId123" xr:uid="{00000000-0004-0000-0000-00007A000000}"/>
    <hyperlink ref="O125" r:id="rId124" xr:uid="{00000000-0004-0000-0000-00007B000000}"/>
    <hyperlink ref="O126" r:id="rId125" xr:uid="{00000000-0004-0000-0000-00007C000000}"/>
    <hyperlink ref="O127" r:id="rId126" xr:uid="{00000000-0004-0000-0000-00007D000000}"/>
    <hyperlink ref="O128" r:id="rId127" xr:uid="{00000000-0004-0000-0000-00007E000000}"/>
    <hyperlink ref="O129" r:id="rId128" xr:uid="{00000000-0004-0000-0000-00007F000000}"/>
    <hyperlink ref="O130" r:id="rId129" xr:uid="{00000000-0004-0000-0000-000080000000}"/>
    <hyperlink ref="O131" r:id="rId130" xr:uid="{00000000-0004-0000-0000-000081000000}"/>
    <hyperlink ref="O132" r:id="rId131" xr:uid="{00000000-0004-0000-0000-000082000000}"/>
    <hyperlink ref="O133" r:id="rId132" xr:uid="{00000000-0004-0000-0000-000083000000}"/>
    <hyperlink ref="O134" r:id="rId133" xr:uid="{00000000-0004-0000-0000-000084000000}"/>
    <hyperlink ref="O135" r:id="rId134" xr:uid="{00000000-0004-0000-0000-000085000000}"/>
    <hyperlink ref="O136" r:id="rId135" xr:uid="{00000000-0004-0000-0000-000086000000}"/>
    <hyperlink ref="O137" r:id="rId136" xr:uid="{00000000-0004-0000-0000-000087000000}"/>
    <hyperlink ref="O138" r:id="rId137" xr:uid="{00000000-0004-0000-0000-000088000000}"/>
    <hyperlink ref="O139" r:id="rId138" xr:uid="{00000000-0004-0000-0000-000089000000}"/>
    <hyperlink ref="O140" r:id="rId139" xr:uid="{00000000-0004-0000-0000-00008A000000}"/>
    <hyperlink ref="O141" r:id="rId140" xr:uid="{00000000-0004-0000-0000-00008B000000}"/>
    <hyperlink ref="O142" r:id="rId141" xr:uid="{00000000-0004-0000-0000-00008C000000}"/>
    <hyperlink ref="O143" r:id="rId142" xr:uid="{00000000-0004-0000-0000-00008D000000}"/>
    <hyperlink ref="O144" r:id="rId143" xr:uid="{00000000-0004-0000-0000-00008E000000}"/>
    <hyperlink ref="O145" r:id="rId144" xr:uid="{00000000-0004-0000-0000-00008F000000}"/>
    <hyperlink ref="O146" r:id="rId145" xr:uid="{00000000-0004-0000-0000-000090000000}"/>
    <hyperlink ref="O147" r:id="rId146" xr:uid="{00000000-0004-0000-0000-000091000000}"/>
    <hyperlink ref="O148" r:id="rId147" xr:uid="{00000000-0004-0000-0000-000092000000}"/>
    <hyperlink ref="O149" r:id="rId148" xr:uid="{00000000-0004-0000-0000-000093000000}"/>
    <hyperlink ref="O150" r:id="rId149" xr:uid="{00000000-0004-0000-0000-000094000000}"/>
    <hyperlink ref="O151" r:id="rId150" xr:uid="{00000000-0004-0000-0000-000095000000}"/>
    <hyperlink ref="O152" r:id="rId151" xr:uid="{00000000-0004-0000-0000-000096000000}"/>
    <hyperlink ref="O153" r:id="rId152" xr:uid="{00000000-0004-0000-0000-000097000000}"/>
    <hyperlink ref="O154" r:id="rId153" xr:uid="{00000000-0004-0000-0000-000098000000}"/>
    <hyperlink ref="O155" r:id="rId154" xr:uid="{00000000-0004-0000-0000-000099000000}"/>
    <hyperlink ref="O156" r:id="rId155" xr:uid="{00000000-0004-0000-0000-00009A000000}"/>
    <hyperlink ref="O157" r:id="rId156" xr:uid="{00000000-0004-0000-0000-00009B000000}"/>
    <hyperlink ref="O158" r:id="rId157" xr:uid="{00000000-0004-0000-0000-00009C000000}"/>
    <hyperlink ref="O159" r:id="rId158" xr:uid="{00000000-0004-0000-0000-00009D000000}"/>
    <hyperlink ref="O160" r:id="rId159" xr:uid="{00000000-0004-0000-0000-00009E000000}"/>
    <hyperlink ref="O161" r:id="rId160" xr:uid="{00000000-0004-0000-0000-00009F000000}"/>
    <hyperlink ref="O162" r:id="rId161" xr:uid="{00000000-0004-0000-0000-0000A0000000}"/>
    <hyperlink ref="O163" r:id="rId162" xr:uid="{00000000-0004-0000-0000-0000A1000000}"/>
    <hyperlink ref="O164" r:id="rId163" xr:uid="{00000000-0004-0000-0000-0000A2000000}"/>
    <hyperlink ref="O165" r:id="rId164" xr:uid="{00000000-0004-0000-0000-0000A3000000}"/>
    <hyperlink ref="O166" r:id="rId165" xr:uid="{00000000-0004-0000-0000-0000A4000000}"/>
    <hyperlink ref="O167" r:id="rId166" xr:uid="{00000000-0004-0000-0000-0000A5000000}"/>
    <hyperlink ref="O168" r:id="rId167" xr:uid="{00000000-0004-0000-0000-0000A6000000}"/>
    <hyperlink ref="O169" r:id="rId168" xr:uid="{00000000-0004-0000-0000-0000A7000000}"/>
    <hyperlink ref="O170" r:id="rId169" xr:uid="{00000000-0004-0000-0000-0000A8000000}"/>
    <hyperlink ref="O171" r:id="rId170" xr:uid="{00000000-0004-0000-0000-0000A9000000}"/>
    <hyperlink ref="O172" r:id="rId171" xr:uid="{00000000-0004-0000-0000-0000AA000000}"/>
    <hyperlink ref="O173" r:id="rId172" xr:uid="{00000000-0004-0000-0000-0000AB000000}"/>
    <hyperlink ref="O174" r:id="rId173" xr:uid="{00000000-0004-0000-0000-0000AC000000}"/>
    <hyperlink ref="O175" r:id="rId174" xr:uid="{00000000-0004-0000-0000-0000AD000000}"/>
    <hyperlink ref="O176" r:id="rId175" xr:uid="{00000000-0004-0000-0000-0000AE000000}"/>
    <hyperlink ref="O177" r:id="rId176" xr:uid="{00000000-0004-0000-0000-0000AF000000}"/>
    <hyperlink ref="O178" r:id="rId177" xr:uid="{00000000-0004-0000-0000-0000B0000000}"/>
    <hyperlink ref="O179" r:id="rId178" xr:uid="{00000000-0004-0000-0000-0000B1000000}"/>
    <hyperlink ref="O180" r:id="rId179" xr:uid="{00000000-0004-0000-0000-0000B2000000}"/>
    <hyperlink ref="O181" r:id="rId180" xr:uid="{00000000-0004-0000-0000-0000B3000000}"/>
    <hyperlink ref="O182" r:id="rId181" xr:uid="{00000000-0004-0000-0000-0000B4000000}"/>
    <hyperlink ref="O183" r:id="rId182" xr:uid="{00000000-0004-0000-0000-0000B5000000}"/>
    <hyperlink ref="O184" r:id="rId183" xr:uid="{00000000-0004-0000-0000-0000B6000000}"/>
    <hyperlink ref="O185" r:id="rId184" xr:uid="{00000000-0004-0000-0000-0000B7000000}"/>
    <hyperlink ref="O186" r:id="rId185" xr:uid="{00000000-0004-0000-0000-0000B8000000}"/>
    <hyperlink ref="O187" r:id="rId186" xr:uid="{00000000-0004-0000-0000-0000B9000000}"/>
    <hyperlink ref="O188" r:id="rId187" xr:uid="{00000000-0004-0000-0000-0000BA000000}"/>
    <hyperlink ref="O189" r:id="rId188" xr:uid="{00000000-0004-0000-0000-0000BB000000}"/>
    <hyperlink ref="O190" r:id="rId189" xr:uid="{00000000-0004-0000-0000-0000BC000000}"/>
    <hyperlink ref="O191" r:id="rId190" xr:uid="{00000000-0004-0000-0000-0000BD000000}"/>
    <hyperlink ref="O192" r:id="rId191" xr:uid="{00000000-0004-0000-0000-0000BE000000}"/>
    <hyperlink ref="O193" r:id="rId192" xr:uid="{00000000-0004-0000-0000-0000BF000000}"/>
    <hyperlink ref="O194" r:id="rId193" xr:uid="{00000000-0004-0000-0000-0000C0000000}"/>
    <hyperlink ref="O195" r:id="rId194" xr:uid="{00000000-0004-0000-0000-0000C1000000}"/>
    <hyperlink ref="O196" r:id="rId195" xr:uid="{00000000-0004-0000-0000-0000C2000000}"/>
    <hyperlink ref="O197" r:id="rId196" xr:uid="{00000000-0004-0000-0000-0000C3000000}"/>
    <hyperlink ref="O198" r:id="rId197" xr:uid="{00000000-0004-0000-0000-0000C4000000}"/>
    <hyperlink ref="O199" r:id="rId198" xr:uid="{00000000-0004-0000-0000-0000C5000000}"/>
    <hyperlink ref="O200" r:id="rId199" xr:uid="{00000000-0004-0000-0000-0000C6000000}"/>
    <hyperlink ref="O201" r:id="rId200" xr:uid="{00000000-0004-0000-0000-0000C7000000}"/>
    <hyperlink ref="O202" r:id="rId201" xr:uid="{00000000-0004-0000-0000-0000C8000000}"/>
    <hyperlink ref="O203" r:id="rId202" xr:uid="{00000000-0004-0000-0000-0000C9000000}"/>
    <hyperlink ref="O204" r:id="rId203" xr:uid="{00000000-0004-0000-0000-0000CA000000}"/>
    <hyperlink ref="O205" r:id="rId204" xr:uid="{00000000-0004-0000-0000-0000CB000000}"/>
    <hyperlink ref="O206" r:id="rId205" xr:uid="{00000000-0004-0000-0000-0000CC000000}"/>
    <hyperlink ref="O207" r:id="rId206" xr:uid="{00000000-0004-0000-0000-0000CD000000}"/>
    <hyperlink ref="O208" r:id="rId207" xr:uid="{00000000-0004-0000-0000-0000CE000000}"/>
    <hyperlink ref="O209" r:id="rId208" xr:uid="{00000000-0004-0000-0000-0000CF000000}"/>
    <hyperlink ref="O210" r:id="rId209" xr:uid="{00000000-0004-0000-0000-0000D0000000}"/>
    <hyperlink ref="O211" r:id="rId210" xr:uid="{00000000-0004-0000-0000-0000D1000000}"/>
    <hyperlink ref="O212" r:id="rId211" xr:uid="{00000000-0004-0000-0000-0000D2000000}"/>
    <hyperlink ref="O213" r:id="rId212" xr:uid="{00000000-0004-0000-0000-0000D3000000}"/>
    <hyperlink ref="O214" r:id="rId213" xr:uid="{00000000-0004-0000-0000-0000D4000000}"/>
    <hyperlink ref="O215" r:id="rId214" xr:uid="{00000000-0004-0000-0000-0000D5000000}"/>
    <hyperlink ref="O216" r:id="rId215" xr:uid="{00000000-0004-0000-0000-0000D6000000}"/>
    <hyperlink ref="O217" r:id="rId216" xr:uid="{00000000-0004-0000-0000-0000D7000000}"/>
    <hyperlink ref="O218" r:id="rId217" xr:uid="{00000000-0004-0000-0000-0000D8000000}"/>
    <hyperlink ref="O219" r:id="rId218" xr:uid="{00000000-0004-0000-0000-0000D9000000}"/>
    <hyperlink ref="O220" r:id="rId219" xr:uid="{00000000-0004-0000-0000-0000DA000000}"/>
    <hyperlink ref="O221" r:id="rId220" xr:uid="{00000000-0004-0000-0000-0000DB000000}"/>
    <hyperlink ref="O222" r:id="rId221" xr:uid="{00000000-0004-0000-0000-0000DC000000}"/>
    <hyperlink ref="O223" r:id="rId222" xr:uid="{00000000-0004-0000-0000-0000DD000000}"/>
    <hyperlink ref="O224" r:id="rId223" xr:uid="{00000000-0004-0000-0000-0000DE000000}"/>
    <hyperlink ref="O225" r:id="rId224" xr:uid="{00000000-0004-0000-0000-0000DF000000}"/>
    <hyperlink ref="O226" r:id="rId225" xr:uid="{00000000-0004-0000-0000-0000E0000000}"/>
    <hyperlink ref="O227" r:id="rId226" xr:uid="{00000000-0004-0000-0000-0000E1000000}"/>
    <hyperlink ref="O228" r:id="rId227" xr:uid="{00000000-0004-0000-0000-0000E2000000}"/>
    <hyperlink ref="O229" r:id="rId228" xr:uid="{00000000-0004-0000-0000-0000E3000000}"/>
    <hyperlink ref="O230" r:id="rId229" xr:uid="{00000000-0004-0000-0000-0000E4000000}"/>
    <hyperlink ref="O231" r:id="rId230" xr:uid="{00000000-0004-0000-0000-0000E5000000}"/>
    <hyperlink ref="O232" r:id="rId231" xr:uid="{00000000-0004-0000-0000-0000E6000000}"/>
    <hyperlink ref="O233" r:id="rId232" xr:uid="{00000000-0004-0000-0000-0000E7000000}"/>
    <hyperlink ref="O234" r:id="rId233" xr:uid="{00000000-0004-0000-0000-0000E8000000}"/>
    <hyperlink ref="O235" r:id="rId234" xr:uid="{00000000-0004-0000-0000-0000E9000000}"/>
    <hyperlink ref="O236" r:id="rId235" xr:uid="{00000000-0004-0000-0000-0000EA000000}"/>
    <hyperlink ref="O237" r:id="rId236" xr:uid="{00000000-0004-0000-0000-0000EB000000}"/>
    <hyperlink ref="O238" r:id="rId237" xr:uid="{00000000-0004-0000-0000-0000EC000000}"/>
    <hyperlink ref="O239" r:id="rId238" xr:uid="{00000000-0004-0000-0000-0000ED000000}"/>
    <hyperlink ref="O240" r:id="rId239" xr:uid="{00000000-0004-0000-0000-0000EE000000}"/>
    <hyperlink ref="O241" r:id="rId240" xr:uid="{00000000-0004-0000-0000-0000EF000000}"/>
    <hyperlink ref="O242" r:id="rId241" xr:uid="{00000000-0004-0000-0000-0000F0000000}"/>
    <hyperlink ref="O243" r:id="rId242" xr:uid="{00000000-0004-0000-0000-0000F1000000}"/>
    <hyperlink ref="O244" r:id="rId243" xr:uid="{00000000-0004-0000-0000-0000F2000000}"/>
    <hyperlink ref="O245" r:id="rId244" xr:uid="{00000000-0004-0000-0000-0000F3000000}"/>
    <hyperlink ref="O246" r:id="rId245" xr:uid="{00000000-0004-0000-0000-0000F4000000}"/>
    <hyperlink ref="O247" r:id="rId246" xr:uid="{00000000-0004-0000-0000-0000F5000000}"/>
    <hyperlink ref="O248" r:id="rId247" xr:uid="{00000000-0004-0000-0000-0000F6000000}"/>
    <hyperlink ref="O249" r:id="rId248" xr:uid="{00000000-0004-0000-0000-0000F7000000}"/>
  </hyperlinks>
  <pageMargins left="0.7" right="0.7" top="0.75" bottom="0.75" header="0.3" footer="0.3"/>
  <pageSetup orientation="portrait" r:id="rId2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IEEE Journals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P.VISHNU VARDHAN</cp:lastModifiedBy>
  <dcterms:modified xsi:type="dcterms:W3CDTF">2026-10-25T13:37:01Z</dcterms:modified>
</cp:coreProperties>
</file>